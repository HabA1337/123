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_заполнять" sheetId="1" state="visible" r:id="rId1"/>
    <sheet name="Анкета" sheetId="2" state="visible" r:id="rId2"/>
    <sheet name="Журнал_день" sheetId="3" state="visible" r:id="rId3"/>
    <sheet name="Журнал_660" sheetId="4" state="visible" r:id="rId4"/>
    <sheet name="БД_сутки" sheetId="5" state="visible" r:id="rId5"/>
    <sheet name="Итоги" sheetId="6" state="visible" r:id="rId6"/>
    <sheet name="Рапорт" sheetId="7" state="visible" r:id="rId7"/>
  </sheets>
  <definedNames>
    <definedName name="Год">Анкета!$C$12</definedName>
    <definedName name="Фамилия">Анкета!$C$3</definedName>
    <definedName name="ОВД">Анкета!$C$13</definedName>
    <definedName name="ОВЗ">Анкета!$C$14</definedName>
    <definedName name="_xlnm._FilterDatabase" localSheetId="2" hidden="1">'Журнал_день'!$A$5:$M$371</definedName>
    <definedName name="_xlnm.Print_Titles" localSheetId="2">'Журнал_день'!$1:$5</definedName>
    <definedName name="_xlnm.Print_Area" localSheetId="3">'Журнал_660'!$A$1:$M$31</definedName>
    <definedName name="_xlnm.Print_Area" localSheetId="6">'Рапорт'!$A$1:$F$38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MMMM"/>
  </numFmts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FFFFFF"/>
      <sz val="12"/>
    </font>
    <font>
      <name val="Times New Roman"/>
      <sz val="11"/>
    </font>
    <font>
      <name val="Times New Roman"/>
      <b val="1"/>
      <sz val="11"/>
    </font>
    <font>
      <name val="Times New Roman"/>
      <sz val="9"/>
    </font>
    <font>
      <name val="Times New Roman"/>
      <i val="1"/>
      <sz val="8"/>
    </font>
    <font>
      <name val="Times New Roman"/>
      <b val="1"/>
      <sz val="9"/>
    </font>
    <font>
      <name val="Times New Roman"/>
      <b val="1"/>
      <sz val="10"/>
    </font>
    <font>
      <name val="Times New Roman"/>
      <b val="1"/>
      <sz val="18"/>
    </font>
    <font>
      <name val="Times New Roman"/>
      <sz val="13"/>
    </font>
  </fonts>
  <fills count="10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2E7D4F"/>
      </patternFill>
    </fill>
    <fill>
      <patternFill patternType="solid">
        <fgColor rgb="00F4F1E8"/>
      </patternFill>
    </fill>
    <fill>
      <patternFill patternType="solid">
        <fgColor rgb="00DCE8D8"/>
      </patternFill>
    </fill>
    <fill>
      <patternFill patternType="solid">
        <fgColor rgb="00FFF3B0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C8DCC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4" fontId="3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165" fontId="4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4" borderId="0" applyAlignment="1" pivotButton="0" quotePrefix="0" xfId="0">
      <alignment horizontal="justify" vertical="top" wrapText="1"/>
    </xf>
    <xf numFmtId="0" fontId="0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4" pivotButton="0" quotePrefix="0" xfId="0"/>
    <xf numFmtId="164" fontId="4" fillId="6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justify" vertical="top" wrapText="1"/>
    </xf>
    <xf numFmtId="0" fontId="3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justify" vertical="top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8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3D"/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Как пользоваться журналом и рапортом</t>
        </is>
      </c>
    </row>
    <row r="3" ht="20" customHeight="1">
      <c r="A3" s="2" t="inlineStr">
        <is>
          <t>Что это</t>
        </is>
      </c>
    </row>
    <row r="4" ht="48" customHeight="1">
      <c r="A4" s="3" t="inlineStr">
        <is>
          <t>Книга повторяет официальный журнал из приложения № 7 к приказу Министра обороны РФ от 30.10.2015 № 660 (п. 25 Порядка) и отдельно ведёт боевое дежурство в сутках (п. 3 ст. 11 закона № 76-ФЗ и п. 5 приложения № 2 к Положению о порядке прохождения военной службы).</t>
        </is>
      </c>
    </row>
    <row r="5" ht="20" customHeight="1">
      <c r="A5" s="2" t="inlineStr">
        <is>
          <t>Жёлтые ячейки</t>
        </is>
      </c>
    </row>
    <row r="6" ht="48" customHeight="1">
      <c r="A6" s="3" t="inlineStr">
        <is>
          <t>Заполняете только их. Серые / голубые ячейки считаются сами — их не затирайте.</t>
        </is>
      </c>
    </row>
    <row r="7" ht="20" customHeight="1">
      <c r="A7" s="2" t="inlineStr">
        <is>
          <t>1. Анкета</t>
        </is>
      </c>
    </row>
    <row r="8" ht="48" customHeight="1">
      <c r="A8" s="3" t="inlineStr">
        <is>
          <t>Впишите фамилию, звание, должность, в/ч, командира, оклады и год. Фамилия из анкеты сразу попадает в рапорт.</t>
        </is>
      </c>
    </row>
    <row r="9" ht="20" customHeight="1">
      <c r="A9" s="2" t="inlineStr">
        <is>
          <t>2. Журнал_день — ваш рабочий журнал</t>
        </is>
      </c>
    </row>
    <row r="10" ht="48" customHeight="1">
      <c r="A10" s="3" t="inlineStr">
        <is>
          <t>Это повседневный учёт на каждый день года. Ставьте 1 в колонке «БД», если стояли на боевом дежурстве; 1 в «Наряд», если суточный наряд. Сверхурочные часы в рабочие дни — в графу «Сверхурочно, ч». Часы в выходной или праздник — в графу «Выходной/праздник, ч». Если дали отгул — часы в «Отдых дан, ч» или сутки в «К отпуску, сут».</t>
        </is>
      </c>
    </row>
    <row r="11" ht="20" customHeight="1">
      <c r="A11" s="2" t="inlineStr">
        <is>
          <t>3. Журнал_660 — как в части</t>
        </is>
      </c>
    </row>
    <row r="12" ht="48" customHeight="1">
      <c r="A12" s="3" t="inlineStr">
        <is>
          <t>Это та самая официальная форма на неделю: графы 1–13, подпись военнослужащего, подпись командира подразделения. Выберите номер недели — часы подтянутся из Журнал_день. Можно дописать сослуживцев (журнал в части ведётся на подразделение).</t>
        </is>
      </c>
    </row>
    <row r="13" ht="20" customHeight="1">
      <c r="A13" s="2" t="inlineStr">
        <is>
          <t>Важно про журнал 660</t>
        </is>
      </c>
    </row>
    <row r="14" ht="48" customHeight="1">
      <c r="A14" s="3" t="inlineStr">
        <is>
          <t>Официальный журнал считает ЧАСЫ сверхурочки и выходных (п. 1 ст. 11). Боевое дежурство в нём отдельной графы не имеет: БД учитывается СУТКАМИ. Поэтому боевое дежурство смотрите на листе «БД_сутки» и в итогах.</t>
        </is>
      </c>
    </row>
    <row r="15" ht="20" customHeight="1">
      <c r="A15" s="2" t="inlineStr">
        <is>
          <t>4. БД_сутки</t>
        </is>
      </c>
    </row>
    <row r="16" ht="48" customHeight="1">
      <c r="A16" s="3" t="inlineStr">
        <is>
          <t>Считает сутки боевого дежурства из ежедневного журнала. Правило: за каждые 3 суток БД положено 2 суток отдыха. Остаток (1 или 2 суток) не сгорает — ждёт следующую тройку.</t>
        </is>
      </c>
    </row>
    <row r="17" ht="20" customHeight="1">
      <c r="A17" s="2" t="inlineStr">
        <is>
          <t>5. Итоги</t>
        </is>
      </c>
    </row>
    <row r="18" ht="48" customHeight="1">
      <c r="A18" s="3" t="inlineStr">
        <is>
          <t>Сводка за выбранный день, за каждый месяц и за год. Деньги считаются только за неиспользованные сутки отдыха за БД по приказу МО РФ № 80: (оклад должности + оклад звания) / 30 × сутки.</t>
        </is>
      </c>
    </row>
    <row r="19" ht="20" customHeight="1">
      <c r="A19" s="2" t="inlineStr">
        <is>
          <t>6. Рапорт</t>
        </is>
      </c>
    </row>
    <row r="20" ht="48" customHeight="1">
      <c r="A20" s="3" t="inlineStr">
        <is>
          <t>Собирается сам. Проверьте цифры, распечатайте лист «Рапорт» в двух экземплярах и сдайте через канцелярию. На своём экземпляре возьмите входящий номер.</t>
        </is>
      </c>
    </row>
    <row r="21" ht="20" customHeight="1">
      <c r="A21" s="2" t="inlineStr">
        <is>
          <t>Сгорают ли сутки 31 декабря</t>
        </is>
      </c>
    </row>
    <row r="22" ht="48" customHeight="1">
      <c r="A22" s="3" t="inlineStr">
        <is>
          <t>Нет. Они копятся по мере дежурства и переносятся на следующий год. Лучше использовать или компенсировать не позже конца следующего года.</t>
        </is>
      </c>
    </row>
    <row r="23" ht="20" customHeight="1">
      <c r="A23" s="2" t="inlineStr">
        <is>
          <t>Демо-данные</t>
        </is>
      </c>
    </row>
    <row r="24" ht="48" customHeight="1">
      <c r="A24" s="3" t="inlineStr">
        <is>
          <t>В журнале на 2026 год для примера отмечено 30 суток БД (1–30 января). Замените на свои отметки: должно получиться 20 суток отдыха.</t>
        </is>
      </c>
    </row>
  </sheetData>
  <mergeCells count="23">
    <mergeCell ref="A24:B24"/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19:B19"/>
    <mergeCell ref="A10:B10"/>
    <mergeCell ref="A13:B13"/>
    <mergeCell ref="A9:B9"/>
  </mergeCells>
  <pageMargins left="0.4" right="0.4" top="0.5" bottom="0.5" header="0.5" footer="0.5"/>
  <pageSetup orientation="portrait" paperSize="9" fitToHeight="0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8" customWidth="1" min="2" max="2"/>
    <col width="36" customWidth="1" min="3" max="3"/>
  </cols>
  <sheetData>
    <row r="1" ht="26" customHeight="1">
      <c r="A1" s="1" t="inlineStr">
        <is>
          <t>Сведения о военнослужащем — попадают в журнал и в рапорт</t>
        </is>
      </c>
    </row>
    <row r="2">
      <c r="A2" s="4" t="inlineStr">
        <is>
          <t>Реквизит</t>
        </is>
      </c>
      <c r="B2" s="4" t="inlineStr">
        <is>
          <t>Заполните жёлтое</t>
        </is>
      </c>
      <c r="C2" s="4" t="inlineStr">
        <is>
          <t>Значение</t>
        </is>
      </c>
    </row>
    <row r="3" ht="20" customHeight="1">
      <c r="A3" s="5" t="inlineStr">
        <is>
          <t>Фамилия</t>
        </is>
      </c>
      <c r="B3" s="6" t="inlineStr"/>
      <c r="C3" s="7" t="inlineStr">
        <is>
          <t>Петров</t>
        </is>
      </c>
    </row>
    <row r="4" ht="20" customHeight="1">
      <c r="A4" s="5" t="inlineStr">
        <is>
          <t>Имя</t>
        </is>
      </c>
      <c r="B4" s="6" t="inlineStr"/>
      <c r="C4" s="7" t="inlineStr">
        <is>
          <t>Пётр</t>
        </is>
      </c>
    </row>
    <row r="5" ht="20" customHeight="1">
      <c r="A5" s="5" t="inlineStr">
        <is>
          <t>Отчество</t>
        </is>
      </c>
      <c r="B5" s="6" t="inlineStr"/>
      <c r="C5" s="7" t="inlineStr">
        <is>
          <t>Петрович</t>
        </is>
      </c>
    </row>
    <row r="6" ht="20" customHeight="1">
      <c r="A6" s="5" t="inlineStr">
        <is>
          <t>Воинское звание</t>
        </is>
      </c>
      <c r="B6" s="6" t="inlineStr"/>
      <c r="C6" s="7" t="inlineStr">
        <is>
          <t>сержант</t>
        </is>
      </c>
    </row>
    <row r="7" ht="20" customHeight="1">
      <c r="A7" s="5" t="inlineStr">
        <is>
          <t>Воинская должность</t>
        </is>
      </c>
      <c r="B7" s="6" t="inlineStr"/>
      <c r="C7" s="7" t="inlineStr">
        <is>
          <t>командир отделения</t>
        </is>
      </c>
    </row>
    <row r="8" ht="20" customHeight="1">
      <c r="A8" s="5" t="inlineStr">
        <is>
          <t>Подразделение</t>
        </is>
      </c>
      <c r="B8" s="6" t="inlineStr"/>
      <c r="C8" s="7" t="inlineStr">
        <is>
          <t>1 мсв 2 мср</t>
        </is>
      </c>
    </row>
    <row r="9" ht="20" customHeight="1">
      <c r="A9" s="5" t="inlineStr">
        <is>
          <t>Войсковая часть</t>
        </is>
      </c>
      <c r="B9" s="6" t="inlineStr"/>
      <c r="C9" s="7" t="inlineStr">
        <is>
          <t>00000</t>
        </is>
      </c>
    </row>
    <row r="10" ht="20" customHeight="1">
      <c r="A10" s="5" t="inlineStr">
        <is>
          <t>Командир части (звание)</t>
        </is>
      </c>
      <c r="B10" s="6" t="inlineStr"/>
      <c r="C10" s="7" t="inlineStr">
        <is>
          <t>полковник</t>
        </is>
      </c>
    </row>
    <row r="11" ht="20" customHeight="1">
      <c r="A11" s="5" t="inlineStr">
        <is>
          <t>Командир части (инициал и фамилия)</t>
        </is>
      </c>
      <c r="B11" s="6" t="inlineStr"/>
      <c r="C11" s="7" t="inlineStr">
        <is>
          <t>И.И. Иванов</t>
        </is>
      </c>
    </row>
    <row r="12" ht="20" customHeight="1">
      <c r="A12" s="5" t="inlineStr">
        <is>
          <t>Год учёта</t>
        </is>
      </c>
      <c r="B12" s="6" t="inlineStr"/>
      <c r="C12" s="8" t="n">
        <v>2026</v>
      </c>
    </row>
    <row r="13" ht="20" customHeight="1">
      <c r="A13" s="5" t="inlineStr">
        <is>
          <t>Оклад по воинской должности, руб.</t>
        </is>
      </c>
      <c r="B13" s="6" t="inlineStr"/>
      <c r="C13" s="9" t="n">
        <v>25000</v>
      </c>
    </row>
    <row r="14" ht="20" customHeight="1">
      <c r="A14" s="5" t="inlineStr">
        <is>
          <t>Оклад по воинскому званию, руб.</t>
        </is>
      </c>
      <c r="B14" s="6" t="inlineStr"/>
      <c r="C14" s="9" t="n">
        <v>12000</v>
      </c>
    </row>
    <row r="15" ht="20" customHeight="1">
      <c r="A15" s="5" t="inlineStr">
        <is>
          <t>Продолжительность служебного дня, ч</t>
        </is>
      </c>
      <c r="B15" s="6" t="inlineStr"/>
      <c r="C15" s="7" t="n">
        <v>8</v>
      </c>
    </row>
    <row r="16" ht="20" customHeight="1">
      <c r="A16" s="5" t="inlineStr">
        <is>
          <t>Номер недели для печати журнала 660</t>
        </is>
      </c>
      <c r="B16" s="6" t="inlineStr"/>
      <c r="C16" s="8" t="n">
        <v>1</v>
      </c>
    </row>
    <row r="18">
      <c r="A18" s="10" t="inlineStr">
        <is>
          <t>Служебные поля (не трогать)</t>
        </is>
      </c>
    </row>
    <row r="19" ht="20" customHeight="1">
      <c r="A19" s="11" t="inlineStr">
        <is>
          <t>ФИО полностью</t>
        </is>
      </c>
      <c r="B19" s="12">
        <f>TRIM(C3&amp;" "&amp;C4&amp;" "&amp;C5)</f>
        <v/>
      </c>
      <c r="C19" s="6" t="n"/>
    </row>
    <row r="20" ht="20" customHeight="1">
      <c r="A20" s="11" t="inlineStr">
        <is>
          <t>ФИО в рапорте (род. падеж — правьте при необходимости)</t>
        </is>
      </c>
      <c r="B20" s="12">
        <f>C3&amp;"а "&amp;LEFT(C4,1)&amp;"."&amp;LEFT(C5,1)&amp;"."</f>
        <v/>
      </c>
      <c r="C20" s="6" t="n"/>
    </row>
    <row r="21" ht="20" customHeight="1">
      <c r="A21" s="11" t="inlineStr">
        <is>
          <t>Кому рапорт</t>
        </is>
      </c>
      <c r="B21" s="12">
        <f>"Командиру войсковой части "&amp;C9&amp;" "&amp;C10&amp;"у "&amp;C11</f>
        <v/>
      </c>
      <c r="C21" s="6" t="n"/>
    </row>
    <row r="22" ht="20" customHeight="1">
      <c r="A22" s="11" t="inlineStr">
        <is>
          <t>От кого</t>
        </is>
      </c>
      <c r="B22" s="12">
        <f>"от "&amp;C7&amp;" "&amp;C6&amp;"а "&amp;C3&amp;"а "&amp;LEFT(C4,1)&amp;"."&amp;LEFT(C5,1)&amp;"."</f>
        <v/>
      </c>
      <c r="C22" s="6" t="n"/>
    </row>
    <row r="23" ht="20" customHeight="1">
      <c r="A23" s="11" t="inlineStr">
        <is>
          <t>Оклады вместе</t>
        </is>
      </c>
      <c r="B23" s="13">
        <f>C13+C14</f>
        <v/>
      </c>
      <c r="C23" s="6" t="n"/>
    </row>
    <row r="24" ht="20" customHeight="1">
      <c r="A24" s="11" t="inlineStr">
        <is>
          <t>1/30 окладов</t>
        </is>
      </c>
      <c r="B24" s="13">
        <f>C23/30</f>
        <v/>
      </c>
      <c r="C24" s="6" t="n"/>
    </row>
    <row r="26">
      <c r="A26" s="14" t="inlineStr">
        <is>
          <t>Родительный падеж в строке 20 проверьте сами: «Петрова П.П.» обычно верно, для фамилий на -о, -ых, -ко поправьте вручную.</t>
        </is>
      </c>
    </row>
    <row r="28">
      <c r="A28" s="10" t="inlineStr">
        <is>
          <t>Подсказка по окладам</t>
        </is>
      </c>
    </row>
    <row r="29">
      <c r="A29" s="3" t="inlineStr">
        <is>
          <t>Компенсация по приказу МО РФ № 80 считается только из двух окладов (должность + звание), без надбавок, премии и районного коэффициента. Берите цифры из расчётного листка.</t>
        </is>
      </c>
    </row>
    <row r="30"/>
  </sheetData>
  <mergeCells count="10">
    <mergeCell ref="B21:C21"/>
    <mergeCell ref="B24:C24"/>
    <mergeCell ref="A29:C30"/>
    <mergeCell ref="A1:C1"/>
    <mergeCell ref="B19:C19"/>
    <mergeCell ref="B20:C20"/>
    <mergeCell ref="B23:C23"/>
    <mergeCell ref="B22:C22"/>
    <mergeCell ref="A19"/>
    <mergeCell ref="A26:C26"/>
  </mergeCells>
  <pageMargins left="0.4" right="0.4" top="0.5" bottom="0.5" header="0.5" footer="0.5"/>
  <pageSetup orientation="portrait" paperSize="9" fitToHeight="0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M3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4" customWidth="1" min="9" max="9"/>
    <col width="16" customWidth="1" min="10" max="10"/>
    <col width="12" customWidth="1" min="11" max="11"/>
    <col width="12" customWidth="1" min="12" max="12"/>
    <col width="28" customWidth="1" min="13" max="13"/>
  </cols>
  <sheetData>
    <row r="1" ht="24" customHeight="1">
      <c r="A1" s="15" t="inlineStr">
        <is>
          <t>ЕЖЕДНЕВНЫЙ УЧЁТ СЛУЖЕБНОГО ВРЕМЕНИ  —  заполняется на каждого военнослужащего. Жёлтое — ваши отметки. 1 = заступил. Часы — числом.</t>
        </is>
      </c>
    </row>
    <row r="2" ht="20" customHeight="1">
      <c r="A2" s="16">
        <f>CONCATENATE("Военнослужащий: ",Анкета!C6," ",Анкета!B19,"   |   ",Анкета!C7,"   |   в/ч ",Анкета!C9,"   |   год ",Анкета!C12)</f>
        <v/>
      </c>
    </row>
    <row r="3">
      <c r="A3" s="17" t="inlineStr">
        <is>
          <t>БД и наряд отмечайте единицей. Сверхурочка журнала 660 — только часы (графа 5 — рабочие дни, графа 6 — выходные/праздники). Боевое дежурство в часы 660 не переводите: оно идёт в лист «БД_сутки».</t>
        </is>
      </c>
    </row>
    <row r="4" ht="32" customHeight="1">
      <c r="A4" s="4" t="inlineStr">
        <is>
          <t>№</t>
        </is>
      </c>
      <c r="B4" s="4" t="inlineStr">
        <is>
          <t>Дата</t>
        </is>
      </c>
      <c r="C4" s="4" t="inlineStr">
        <is>
          <t>День недели</t>
        </is>
      </c>
      <c r="D4" s="4" t="inlineStr">
        <is>
          <t>Неделя</t>
        </is>
      </c>
      <c r="E4" s="4" t="inlineStr">
        <is>
          <t>Месяц</t>
        </is>
      </c>
      <c r="F4" s="4" t="inlineStr">
        <is>
          <t>Вид дня</t>
        </is>
      </c>
      <c r="G4" s="4" t="inlineStr">
        <is>
          <t>БД
(1)</t>
        </is>
      </c>
      <c r="H4" s="4" t="inlineStr">
        <is>
          <t>Наряд
(1)</t>
        </is>
      </c>
      <c r="I4" s="4" t="inlineStr">
        <is>
          <t>Сверхурочно,
ч (гр. 5)</t>
        </is>
      </c>
      <c r="J4" s="4" t="inlineStr">
        <is>
          <t>Выходной/
праздник, ч (гр. 6)</t>
        </is>
      </c>
      <c r="K4" s="4" t="inlineStr">
        <is>
          <t>Отдых дан,
ч (гр. 9)</t>
        </is>
      </c>
      <c r="L4" s="4" t="inlineStr">
        <is>
          <t>К отпуску,
сут (гр. 11)</t>
        </is>
      </c>
      <c r="M4" s="4" t="inlineStr">
        <is>
          <t>Примечание
(приказ, график)</t>
        </is>
      </c>
    </row>
    <row r="5" ht="16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>
        <is>
          <t>БД</t>
        </is>
      </c>
      <c r="H5" s="18" t="inlineStr">
        <is>
          <t>наряд</t>
        </is>
      </c>
      <c r="I5" s="18" t="inlineStr">
        <is>
          <t>5</t>
        </is>
      </c>
      <c r="J5" s="18" t="inlineStr">
        <is>
          <t>6</t>
        </is>
      </c>
      <c r="K5" s="18" t="inlineStr">
        <is>
          <t>9</t>
        </is>
      </c>
      <c r="L5" s="18" t="inlineStr">
        <is>
          <t>11</t>
        </is>
      </c>
      <c r="M5" s="18" t="inlineStr"/>
    </row>
    <row r="6">
      <c r="A6" s="19" t="n">
        <v>1</v>
      </c>
      <c r="B6" s="20">
        <f>IF(DATE(Анкета!$C$12,1,1)+0&gt;DATE(Анкета!$C$12,12,31),"",DATE(Анкета!$C$12,1,1)+0)</f>
        <v/>
      </c>
      <c r="C6" s="19">
        <f>IF(B6="","",CHOOSE(WEEKDAY(B6,2),"понедельник","вторник","среда","четверг","пятница","суббота","воскресенье"))</f>
        <v/>
      </c>
      <c r="D6" s="19">
        <f>IF(B6="","",WEEKNUM(B6,21))</f>
        <v/>
      </c>
      <c r="E6" s="19">
        <f>IF(B6="","",MONTH(B6))</f>
        <v/>
      </c>
      <c r="F6" s="19">
        <f>IF(B6="","",IF(WEEKDAY(B6,2)&gt;=6,"вых","раб"))</f>
        <v/>
      </c>
      <c r="G6" s="21" t="n">
        <v>1</v>
      </c>
      <c r="H6" s="21" t="n"/>
      <c r="I6" s="21" t="n"/>
      <c r="J6" s="21" t="n"/>
      <c r="K6" s="21" t="n"/>
      <c r="L6" s="21" t="n"/>
      <c r="M6" s="22" t="n"/>
    </row>
    <row r="7">
      <c r="A7" s="19" t="n">
        <v>2</v>
      </c>
      <c r="B7" s="20">
        <f>IF(DATE(Анкета!$C$12,1,1)+1&gt;DATE(Анкета!$C$12,12,31),"",DATE(Анкета!$C$12,1,1)+1)</f>
        <v/>
      </c>
      <c r="C7" s="19">
        <f>IF(B7="","",CHOOSE(WEEKDAY(B7,2),"понедельник","вторник","среда","четверг","пятница","суббота","воскресенье"))</f>
        <v/>
      </c>
      <c r="D7" s="19">
        <f>IF(B7="","",WEEKNUM(B7,21))</f>
        <v/>
      </c>
      <c r="E7" s="19">
        <f>IF(B7="","",MONTH(B7))</f>
        <v/>
      </c>
      <c r="F7" s="19">
        <f>IF(B7="","",IF(WEEKDAY(B7,2)&gt;=6,"вых","раб"))</f>
        <v/>
      </c>
      <c r="G7" s="21" t="n">
        <v>1</v>
      </c>
      <c r="H7" s="21" t="n"/>
      <c r="I7" s="21" t="n"/>
      <c r="J7" s="21" t="n"/>
      <c r="K7" s="21" t="n"/>
      <c r="L7" s="21" t="n"/>
      <c r="M7" s="22" t="n"/>
    </row>
    <row r="8">
      <c r="A8" s="19" t="n">
        <v>3</v>
      </c>
      <c r="B8" s="20">
        <f>IF(DATE(Анкета!$C$12,1,1)+2&gt;DATE(Анкета!$C$12,12,31),"",DATE(Анкета!$C$12,1,1)+2)</f>
        <v/>
      </c>
      <c r="C8" s="19">
        <f>IF(B8="","",CHOOSE(WEEKDAY(B8,2),"понедельник","вторник","среда","четверг","пятница","суббота","воскресенье"))</f>
        <v/>
      </c>
      <c r="D8" s="19">
        <f>IF(B8="","",WEEKNUM(B8,21))</f>
        <v/>
      </c>
      <c r="E8" s="19">
        <f>IF(B8="","",MONTH(B8))</f>
        <v/>
      </c>
      <c r="F8" s="19">
        <f>IF(B8="","",IF(WEEKDAY(B8,2)&gt;=6,"вых","раб"))</f>
        <v/>
      </c>
      <c r="G8" s="21" t="n">
        <v>1</v>
      </c>
      <c r="H8" s="21" t="n"/>
      <c r="I8" s="21" t="n"/>
      <c r="J8" s="21" t="n"/>
      <c r="K8" s="21" t="n"/>
      <c r="L8" s="21" t="n"/>
      <c r="M8" s="22" t="n"/>
    </row>
    <row r="9">
      <c r="A9" s="19" t="n">
        <v>4</v>
      </c>
      <c r="B9" s="20">
        <f>IF(DATE(Анкета!$C$12,1,1)+3&gt;DATE(Анкета!$C$12,12,31),"",DATE(Анкета!$C$12,1,1)+3)</f>
        <v/>
      </c>
      <c r="C9" s="19">
        <f>IF(B9="","",CHOOSE(WEEKDAY(B9,2),"понедельник","вторник","среда","четверг","пятница","суббота","воскресенье"))</f>
        <v/>
      </c>
      <c r="D9" s="19">
        <f>IF(B9="","",WEEKNUM(B9,21))</f>
        <v/>
      </c>
      <c r="E9" s="19">
        <f>IF(B9="","",MONTH(B9))</f>
        <v/>
      </c>
      <c r="F9" s="19">
        <f>IF(B9="","",IF(WEEKDAY(B9,2)&gt;=6,"вых","раб"))</f>
        <v/>
      </c>
      <c r="G9" s="21" t="n">
        <v>1</v>
      </c>
      <c r="H9" s="21" t="n"/>
      <c r="I9" s="21" t="n"/>
      <c r="J9" s="21" t="n"/>
      <c r="K9" s="21" t="n"/>
      <c r="L9" s="21" t="n"/>
      <c r="M9" s="22" t="n"/>
    </row>
    <row r="10">
      <c r="A10" s="19" t="n">
        <v>5</v>
      </c>
      <c r="B10" s="20">
        <f>IF(DATE(Анкета!$C$12,1,1)+4&gt;DATE(Анкета!$C$12,12,31),"",DATE(Анкета!$C$12,1,1)+4)</f>
        <v/>
      </c>
      <c r="C10" s="19">
        <f>IF(B10="","",CHOOSE(WEEKDAY(B10,2),"понедельник","вторник","среда","четверг","пятница","суббота","воскресенье"))</f>
        <v/>
      </c>
      <c r="D10" s="19">
        <f>IF(B10="","",WEEKNUM(B10,21))</f>
        <v/>
      </c>
      <c r="E10" s="19">
        <f>IF(B10="","",MONTH(B10))</f>
        <v/>
      </c>
      <c r="F10" s="19">
        <f>IF(B10="","",IF(WEEKDAY(B10,2)&gt;=6,"вых","раб"))</f>
        <v/>
      </c>
      <c r="G10" s="21" t="n">
        <v>1</v>
      </c>
      <c r="H10" s="21" t="n"/>
      <c r="I10" s="21" t="n"/>
      <c r="J10" s="21" t="n"/>
      <c r="K10" s="21" t="n"/>
      <c r="L10" s="21" t="n"/>
      <c r="M10" s="22" t="n"/>
    </row>
    <row r="11">
      <c r="A11" s="19" t="n">
        <v>6</v>
      </c>
      <c r="B11" s="20">
        <f>IF(DATE(Анкета!$C$12,1,1)+5&gt;DATE(Анкета!$C$12,12,31),"",DATE(Анкета!$C$12,1,1)+5)</f>
        <v/>
      </c>
      <c r="C11" s="19">
        <f>IF(B11="","",CHOOSE(WEEKDAY(B11,2),"понедельник","вторник","среда","четверг","пятница","суббота","воскресенье"))</f>
        <v/>
      </c>
      <c r="D11" s="19">
        <f>IF(B11="","",WEEKNUM(B11,21))</f>
        <v/>
      </c>
      <c r="E11" s="19">
        <f>IF(B11="","",MONTH(B11))</f>
        <v/>
      </c>
      <c r="F11" s="19">
        <f>IF(B11="","",IF(WEEKDAY(B11,2)&gt;=6,"вых","раб"))</f>
        <v/>
      </c>
      <c r="G11" s="21" t="n">
        <v>1</v>
      </c>
      <c r="H11" s="21" t="n"/>
      <c r="I11" s="21" t="n"/>
      <c r="J11" s="21" t="n"/>
      <c r="K11" s="21" t="n"/>
      <c r="L11" s="21" t="n"/>
      <c r="M11" s="22" t="n"/>
    </row>
    <row r="12">
      <c r="A12" s="19" t="n">
        <v>7</v>
      </c>
      <c r="B12" s="20">
        <f>IF(DATE(Анкета!$C$12,1,1)+6&gt;DATE(Анкета!$C$12,12,31),"",DATE(Анкета!$C$12,1,1)+6)</f>
        <v/>
      </c>
      <c r="C12" s="19">
        <f>IF(B12="","",CHOOSE(WEEKDAY(B12,2),"понедельник","вторник","среда","четверг","пятница","суббота","воскресенье"))</f>
        <v/>
      </c>
      <c r="D12" s="19">
        <f>IF(B12="","",WEEKNUM(B12,21))</f>
        <v/>
      </c>
      <c r="E12" s="19">
        <f>IF(B12="","",MONTH(B12))</f>
        <v/>
      </c>
      <c r="F12" s="19">
        <f>IF(B12="","",IF(WEEKDAY(B12,2)&gt;=6,"вых","раб"))</f>
        <v/>
      </c>
      <c r="G12" s="21" t="n">
        <v>1</v>
      </c>
      <c r="H12" s="21" t="n"/>
      <c r="I12" s="21" t="n"/>
      <c r="J12" s="21" t="n"/>
      <c r="K12" s="21" t="n"/>
      <c r="L12" s="21" t="n"/>
      <c r="M12" s="22" t="n"/>
    </row>
    <row r="13">
      <c r="A13" s="19" t="n">
        <v>8</v>
      </c>
      <c r="B13" s="20">
        <f>IF(DATE(Анкета!$C$12,1,1)+7&gt;DATE(Анкета!$C$12,12,31),"",DATE(Анкета!$C$12,1,1)+7)</f>
        <v/>
      </c>
      <c r="C13" s="19">
        <f>IF(B13="","",CHOOSE(WEEKDAY(B13,2),"понедельник","вторник","среда","четверг","пятница","суббота","воскресенье"))</f>
        <v/>
      </c>
      <c r="D13" s="19">
        <f>IF(B13="","",WEEKNUM(B13,21))</f>
        <v/>
      </c>
      <c r="E13" s="19">
        <f>IF(B13="","",MONTH(B13))</f>
        <v/>
      </c>
      <c r="F13" s="19">
        <f>IF(B13="","",IF(WEEKDAY(B13,2)&gt;=6,"вых","раб"))</f>
        <v/>
      </c>
      <c r="G13" s="21" t="n">
        <v>1</v>
      </c>
      <c r="H13" s="21" t="n"/>
      <c r="I13" s="21" t="n"/>
      <c r="J13" s="21" t="n"/>
      <c r="K13" s="21" t="n"/>
      <c r="L13" s="21" t="n"/>
      <c r="M13" s="22" t="n"/>
    </row>
    <row r="14">
      <c r="A14" s="19" t="n">
        <v>9</v>
      </c>
      <c r="B14" s="20">
        <f>IF(DATE(Анкета!$C$12,1,1)+8&gt;DATE(Анкета!$C$12,12,31),"",DATE(Анкета!$C$12,1,1)+8)</f>
        <v/>
      </c>
      <c r="C14" s="19">
        <f>IF(B14="","",CHOOSE(WEEKDAY(B14,2),"понедельник","вторник","среда","четверг","пятница","суббота","воскресенье"))</f>
        <v/>
      </c>
      <c r="D14" s="19">
        <f>IF(B14="","",WEEKNUM(B14,21))</f>
        <v/>
      </c>
      <c r="E14" s="19">
        <f>IF(B14="","",MONTH(B14))</f>
        <v/>
      </c>
      <c r="F14" s="19">
        <f>IF(B14="","",IF(WEEKDAY(B14,2)&gt;=6,"вых","раб"))</f>
        <v/>
      </c>
      <c r="G14" s="21" t="n">
        <v>1</v>
      </c>
      <c r="H14" s="21" t="n"/>
      <c r="I14" s="21" t="n"/>
      <c r="J14" s="21" t="n"/>
      <c r="K14" s="21" t="n"/>
      <c r="L14" s="21" t="n"/>
      <c r="M14" s="22" t="n"/>
    </row>
    <row r="15">
      <c r="A15" s="19" t="n">
        <v>10</v>
      </c>
      <c r="B15" s="20">
        <f>IF(DATE(Анкета!$C$12,1,1)+9&gt;DATE(Анкета!$C$12,12,31),"",DATE(Анкета!$C$12,1,1)+9)</f>
        <v/>
      </c>
      <c r="C15" s="19">
        <f>IF(B15="","",CHOOSE(WEEKDAY(B15,2),"понедельник","вторник","среда","четверг","пятница","суббота","воскресенье"))</f>
        <v/>
      </c>
      <c r="D15" s="19">
        <f>IF(B15="","",WEEKNUM(B15,21))</f>
        <v/>
      </c>
      <c r="E15" s="19">
        <f>IF(B15="","",MONTH(B15))</f>
        <v/>
      </c>
      <c r="F15" s="19">
        <f>IF(B15="","",IF(WEEKDAY(B15,2)&gt;=6,"вых","раб"))</f>
        <v/>
      </c>
      <c r="G15" s="21" t="n">
        <v>1</v>
      </c>
      <c r="H15" s="21" t="n"/>
      <c r="I15" s="21" t="n"/>
      <c r="J15" s="21" t="n"/>
      <c r="K15" s="21" t="n"/>
      <c r="L15" s="21" t="n"/>
      <c r="M15" s="22" t="n"/>
    </row>
    <row r="16">
      <c r="A16" s="19" t="n">
        <v>11</v>
      </c>
      <c r="B16" s="20">
        <f>IF(DATE(Анкета!$C$12,1,1)+10&gt;DATE(Анкета!$C$12,12,31),"",DATE(Анкета!$C$12,1,1)+10)</f>
        <v/>
      </c>
      <c r="C16" s="19">
        <f>IF(B16="","",CHOOSE(WEEKDAY(B16,2),"понедельник","вторник","среда","четверг","пятница","суббота","воскресенье"))</f>
        <v/>
      </c>
      <c r="D16" s="19">
        <f>IF(B16="","",WEEKNUM(B16,21))</f>
        <v/>
      </c>
      <c r="E16" s="19">
        <f>IF(B16="","",MONTH(B16))</f>
        <v/>
      </c>
      <c r="F16" s="19">
        <f>IF(B16="","",IF(WEEKDAY(B16,2)&gt;=6,"вых","раб"))</f>
        <v/>
      </c>
      <c r="G16" s="21" t="n">
        <v>1</v>
      </c>
      <c r="H16" s="21" t="n"/>
      <c r="I16" s="21" t="n"/>
      <c r="J16" s="21" t="n"/>
      <c r="K16" s="21" t="n"/>
      <c r="L16" s="21" t="n"/>
      <c r="M16" s="22" t="n"/>
    </row>
    <row r="17">
      <c r="A17" s="19" t="n">
        <v>12</v>
      </c>
      <c r="B17" s="20">
        <f>IF(DATE(Анкета!$C$12,1,1)+11&gt;DATE(Анкета!$C$12,12,31),"",DATE(Анкета!$C$12,1,1)+11)</f>
        <v/>
      </c>
      <c r="C17" s="19">
        <f>IF(B17="","",CHOOSE(WEEKDAY(B17,2),"понедельник","вторник","среда","четверг","пятница","суббота","воскресенье"))</f>
        <v/>
      </c>
      <c r="D17" s="19">
        <f>IF(B17="","",WEEKNUM(B17,21))</f>
        <v/>
      </c>
      <c r="E17" s="19">
        <f>IF(B17="","",MONTH(B17))</f>
        <v/>
      </c>
      <c r="F17" s="19">
        <f>IF(B17="","",IF(WEEKDAY(B17,2)&gt;=6,"вых","раб"))</f>
        <v/>
      </c>
      <c r="G17" s="21" t="n">
        <v>1</v>
      </c>
      <c r="H17" s="21" t="n"/>
      <c r="I17" s="21" t="n"/>
      <c r="J17" s="21" t="n"/>
      <c r="K17" s="21" t="n"/>
      <c r="L17" s="21" t="n"/>
      <c r="M17" s="22" t="n"/>
    </row>
    <row r="18">
      <c r="A18" s="19" t="n">
        <v>13</v>
      </c>
      <c r="B18" s="20">
        <f>IF(DATE(Анкета!$C$12,1,1)+12&gt;DATE(Анкета!$C$12,12,31),"",DATE(Анкета!$C$12,1,1)+12)</f>
        <v/>
      </c>
      <c r="C18" s="19">
        <f>IF(B18="","",CHOOSE(WEEKDAY(B18,2),"понедельник","вторник","среда","четверг","пятница","суббота","воскресенье"))</f>
        <v/>
      </c>
      <c r="D18" s="19">
        <f>IF(B18="","",WEEKNUM(B18,21))</f>
        <v/>
      </c>
      <c r="E18" s="19">
        <f>IF(B18="","",MONTH(B18))</f>
        <v/>
      </c>
      <c r="F18" s="19">
        <f>IF(B18="","",IF(WEEKDAY(B18,2)&gt;=6,"вых","раб"))</f>
        <v/>
      </c>
      <c r="G18" s="21" t="n">
        <v>1</v>
      </c>
      <c r="H18" s="21" t="n"/>
      <c r="I18" s="21" t="n"/>
      <c r="J18" s="21" t="n"/>
      <c r="K18" s="21" t="n"/>
      <c r="L18" s="21" t="n"/>
      <c r="M18" s="22" t="n"/>
    </row>
    <row r="19">
      <c r="A19" s="19" t="n">
        <v>14</v>
      </c>
      <c r="B19" s="20">
        <f>IF(DATE(Анкета!$C$12,1,1)+13&gt;DATE(Анкета!$C$12,12,31),"",DATE(Анкета!$C$12,1,1)+13)</f>
        <v/>
      </c>
      <c r="C19" s="19">
        <f>IF(B19="","",CHOOSE(WEEKDAY(B19,2),"понедельник","вторник","среда","четверг","пятница","суббота","воскресенье"))</f>
        <v/>
      </c>
      <c r="D19" s="19">
        <f>IF(B19="","",WEEKNUM(B19,21))</f>
        <v/>
      </c>
      <c r="E19" s="19">
        <f>IF(B19="","",MONTH(B19))</f>
        <v/>
      </c>
      <c r="F19" s="19">
        <f>IF(B19="","",IF(WEEKDAY(B19,2)&gt;=6,"вых","раб"))</f>
        <v/>
      </c>
      <c r="G19" s="21" t="n">
        <v>1</v>
      </c>
      <c r="H19" s="21" t="n"/>
      <c r="I19" s="21" t="n"/>
      <c r="J19" s="21" t="n"/>
      <c r="K19" s="21" t="n"/>
      <c r="L19" s="21" t="n"/>
      <c r="M19" s="22" t="n"/>
    </row>
    <row r="20">
      <c r="A20" s="19" t="n">
        <v>15</v>
      </c>
      <c r="B20" s="20">
        <f>IF(DATE(Анкета!$C$12,1,1)+14&gt;DATE(Анкета!$C$12,12,31),"",DATE(Анкета!$C$12,1,1)+14)</f>
        <v/>
      </c>
      <c r="C20" s="19">
        <f>IF(B20="","",CHOOSE(WEEKDAY(B20,2),"понедельник","вторник","среда","четверг","пятница","суббота","воскресенье"))</f>
        <v/>
      </c>
      <c r="D20" s="19">
        <f>IF(B20="","",WEEKNUM(B20,21))</f>
        <v/>
      </c>
      <c r="E20" s="19">
        <f>IF(B20="","",MONTH(B20))</f>
        <v/>
      </c>
      <c r="F20" s="19">
        <f>IF(B20="","",IF(WEEKDAY(B20,2)&gt;=6,"вых","раб"))</f>
        <v/>
      </c>
      <c r="G20" s="21" t="n">
        <v>1</v>
      </c>
      <c r="H20" s="21" t="n"/>
      <c r="I20" s="21" t="n"/>
      <c r="J20" s="21" t="n"/>
      <c r="K20" s="21" t="n"/>
      <c r="L20" s="21" t="n"/>
      <c r="M20" s="22" t="n"/>
    </row>
    <row r="21">
      <c r="A21" s="19" t="n">
        <v>16</v>
      </c>
      <c r="B21" s="20">
        <f>IF(DATE(Анкета!$C$12,1,1)+15&gt;DATE(Анкета!$C$12,12,31),"",DATE(Анкета!$C$12,1,1)+15)</f>
        <v/>
      </c>
      <c r="C21" s="19">
        <f>IF(B21="","",CHOOSE(WEEKDAY(B21,2),"понедельник","вторник","среда","четверг","пятница","суббота","воскресенье"))</f>
        <v/>
      </c>
      <c r="D21" s="19">
        <f>IF(B21="","",WEEKNUM(B21,21))</f>
        <v/>
      </c>
      <c r="E21" s="19">
        <f>IF(B21="","",MONTH(B21))</f>
        <v/>
      </c>
      <c r="F21" s="19">
        <f>IF(B21="","",IF(WEEKDAY(B21,2)&gt;=6,"вых","раб"))</f>
        <v/>
      </c>
      <c r="G21" s="21" t="n">
        <v>1</v>
      </c>
      <c r="H21" s="21" t="n"/>
      <c r="I21" s="21" t="n"/>
      <c r="J21" s="21" t="n"/>
      <c r="K21" s="21" t="n"/>
      <c r="L21" s="21" t="n"/>
      <c r="M21" s="22" t="n"/>
    </row>
    <row r="22">
      <c r="A22" s="19" t="n">
        <v>17</v>
      </c>
      <c r="B22" s="20">
        <f>IF(DATE(Анкета!$C$12,1,1)+16&gt;DATE(Анкета!$C$12,12,31),"",DATE(Анкета!$C$12,1,1)+16)</f>
        <v/>
      </c>
      <c r="C22" s="19">
        <f>IF(B22="","",CHOOSE(WEEKDAY(B22,2),"понедельник","вторник","среда","четверг","пятница","суббота","воскресенье"))</f>
        <v/>
      </c>
      <c r="D22" s="19">
        <f>IF(B22="","",WEEKNUM(B22,21))</f>
        <v/>
      </c>
      <c r="E22" s="19">
        <f>IF(B22="","",MONTH(B22))</f>
        <v/>
      </c>
      <c r="F22" s="19">
        <f>IF(B22="","",IF(WEEKDAY(B22,2)&gt;=6,"вых","раб"))</f>
        <v/>
      </c>
      <c r="G22" s="21" t="n">
        <v>1</v>
      </c>
      <c r="H22" s="21" t="n"/>
      <c r="I22" s="21" t="n"/>
      <c r="J22" s="21" t="n"/>
      <c r="K22" s="21" t="n"/>
      <c r="L22" s="21" t="n"/>
      <c r="M22" s="22" t="n"/>
    </row>
    <row r="23">
      <c r="A23" s="19" t="n">
        <v>18</v>
      </c>
      <c r="B23" s="20">
        <f>IF(DATE(Анкета!$C$12,1,1)+17&gt;DATE(Анкета!$C$12,12,31),"",DATE(Анкета!$C$12,1,1)+17)</f>
        <v/>
      </c>
      <c r="C23" s="19">
        <f>IF(B23="","",CHOOSE(WEEKDAY(B23,2),"понедельник","вторник","среда","четверг","пятница","суббота","воскресенье"))</f>
        <v/>
      </c>
      <c r="D23" s="19">
        <f>IF(B23="","",WEEKNUM(B23,21))</f>
        <v/>
      </c>
      <c r="E23" s="19">
        <f>IF(B23="","",MONTH(B23))</f>
        <v/>
      </c>
      <c r="F23" s="19">
        <f>IF(B23="","",IF(WEEKDAY(B23,2)&gt;=6,"вых","раб"))</f>
        <v/>
      </c>
      <c r="G23" s="21" t="n">
        <v>1</v>
      </c>
      <c r="H23" s="21" t="n"/>
      <c r="I23" s="21" t="n"/>
      <c r="J23" s="21" t="n"/>
      <c r="K23" s="21" t="n"/>
      <c r="L23" s="21" t="n"/>
      <c r="M23" s="22" t="n"/>
    </row>
    <row r="24">
      <c r="A24" s="19" t="n">
        <v>19</v>
      </c>
      <c r="B24" s="20">
        <f>IF(DATE(Анкета!$C$12,1,1)+18&gt;DATE(Анкета!$C$12,12,31),"",DATE(Анкета!$C$12,1,1)+18)</f>
        <v/>
      </c>
      <c r="C24" s="19">
        <f>IF(B24="","",CHOOSE(WEEKDAY(B24,2),"понедельник","вторник","среда","четверг","пятница","суббота","воскресенье"))</f>
        <v/>
      </c>
      <c r="D24" s="19">
        <f>IF(B24="","",WEEKNUM(B24,21))</f>
        <v/>
      </c>
      <c r="E24" s="19">
        <f>IF(B24="","",MONTH(B24))</f>
        <v/>
      </c>
      <c r="F24" s="19">
        <f>IF(B24="","",IF(WEEKDAY(B24,2)&gt;=6,"вых","раб"))</f>
        <v/>
      </c>
      <c r="G24" s="21" t="n">
        <v>1</v>
      </c>
      <c r="H24" s="21" t="n"/>
      <c r="I24" s="21" t="n"/>
      <c r="J24" s="21" t="n"/>
      <c r="K24" s="21" t="n"/>
      <c r="L24" s="21" t="n"/>
      <c r="M24" s="22" t="n"/>
    </row>
    <row r="25">
      <c r="A25" s="19" t="n">
        <v>20</v>
      </c>
      <c r="B25" s="20">
        <f>IF(DATE(Анкета!$C$12,1,1)+19&gt;DATE(Анкета!$C$12,12,31),"",DATE(Анкета!$C$12,1,1)+19)</f>
        <v/>
      </c>
      <c r="C25" s="19">
        <f>IF(B25="","",CHOOSE(WEEKDAY(B25,2),"понедельник","вторник","среда","четверг","пятница","суббота","воскресенье"))</f>
        <v/>
      </c>
      <c r="D25" s="19">
        <f>IF(B25="","",WEEKNUM(B25,21))</f>
        <v/>
      </c>
      <c r="E25" s="19">
        <f>IF(B25="","",MONTH(B25))</f>
        <v/>
      </c>
      <c r="F25" s="19">
        <f>IF(B25="","",IF(WEEKDAY(B25,2)&gt;=6,"вых","раб"))</f>
        <v/>
      </c>
      <c r="G25" s="21" t="n">
        <v>1</v>
      </c>
      <c r="H25" s="21" t="n"/>
      <c r="I25" s="21" t="n"/>
      <c r="J25" s="21" t="n"/>
      <c r="K25" s="21" t="n"/>
      <c r="L25" s="21" t="n"/>
      <c r="M25" s="22" t="n"/>
    </row>
    <row r="26">
      <c r="A26" s="19" t="n">
        <v>21</v>
      </c>
      <c r="B26" s="20">
        <f>IF(DATE(Анкета!$C$12,1,1)+20&gt;DATE(Анкета!$C$12,12,31),"",DATE(Анкета!$C$12,1,1)+20)</f>
        <v/>
      </c>
      <c r="C26" s="19">
        <f>IF(B26="","",CHOOSE(WEEKDAY(B26,2),"понедельник","вторник","среда","четверг","пятница","суббота","воскресенье"))</f>
        <v/>
      </c>
      <c r="D26" s="19">
        <f>IF(B26="","",WEEKNUM(B26,21))</f>
        <v/>
      </c>
      <c r="E26" s="19">
        <f>IF(B26="","",MONTH(B26))</f>
        <v/>
      </c>
      <c r="F26" s="19">
        <f>IF(B26="","",IF(WEEKDAY(B26,2)&gt;=6,"вых","раб"))</f>
        <v/>
      </c>
      <c r="G26" s="21" t="n">
        <v>1</v>
      </c>
      <c r="H26" s="21" t="n"/>
      <c r="I26" s="21" t="n"/>
      <c r="J26" s="21" t="n"/>
      <c r="K26" s="21" t="n"/>
      <c r="L26" s="21" t="n"/>
      <c r="M26" s="22" t="n"/>
    </row>
    <row r="27">
      <c r="A27" s="19" t="n">
        <v>22</v>
      </c>
      <c r="B27" s="20">
        <f>IF(DATE(Анкета!$C$12,1,1)+21&gt;DATE(Анкета!$C$12,12,31),"",DATE(Анкета!$C$12,1,1)+21)</f>
        <v/>
      </c>
      <c r="C27" s="19">
        <f>IF(B27="","",CHOOSE(WEEKDAY(B27,2),"понедельник","вторник","среда","четверг","пятница","суббота","воскресенье"))</f>
        <v/>
      </c>
      <c r="D27" s="19">
        <f>IF(B27="","",WEEKNUM(B27,21))</f>
        <v/>
      </c>
      <c r="E27" s="19">
        <f>IF(B27="","",MONTH(B27))</f>
        <v/>
      </c>
      <c r="F27" s="19">
        <f>IF(B27="","",IF(WEEKDAY(B27,2)&gt;=6,"вых","раб"))</f>
        <v/>
      </c>
      <c r="G27" s="21" t="n">
        <v>1</v>
      </c>
      <c r="H27" s="21" t="n"/>
      <c r="I27" s="21" t="n"/>
      <c r="J27" s="21" t="n"/>
      <c r="K27" s="21" t="n"/>
      <c r="L27" s="21" t="n"/>
      <c r="M27" s="22" t="n"/>
    </row>
    <row r="28">
      <c r="A28" s="19" t="n">
        <v>23</v>
      </c>
      <c r="B28" s="20">
        <f>IF(DATE(Анкета!$C$12,1,1)+22&gt;DATE(Анкета!$C$12,12,31),"",DATE(Анкета!$C$12,1,1)+22)</f>
        <v/>
      </c>
      <c r="C28" s="19">
        <f>IF(B28="","",CHOOSE(WEEKDAY(B28,2),"понедельник","вторник","среда","четверг","пятница","суббота","воскресенье"))</f>
        <v/>
      </c>
      <c r="D28" s="19">
        <f>IF(B28="","",WEEKNUM(B28,21))</f>
        <v/>
      </c>
      <c r="E28" s="19">
        <f>IF(B28="","",MONTH(B28))</f>
        <v/>
      </c>
      <c r="F28" s="19">
        <f>IF(B28="","",IF(WEEKDAY(B28,2)&gt;=6,"вых","раб"))</f>
        <v/>
      </c>
      <c r="G28" s="21" t="n">
        <v>1</v>
      </c>
      <c r="H28" s="21" t="n"/>
      <c r="I28" s="21" t="n"/>
      <c r="J28" s="21" t="n"/>
      <c r="K28" s="21" t="n"/>
      <c r="L28" s="21" t="n"/>
      <c r="M28" s="22" t="n"/>
    </row>
    <row r="29">
      <c r="A29" s="19" t="n">
        <v>24</v>
      </c>
      <c r="B29" s="20">
        <f>IF(DATE(Анкета!$C$12,1,1)+23&gt;DATE(Анкета!$C$12,12,31),"",DATE(Анкета!$C$12,1,1)+23)</f>
        <v/>
      </c>
      <c r="C29" s="19">
        <f>IF(B29="","",CHOOSE(WEEKDAY(B29,2),"понедельник","вторник","среда","четверг","пятница","суббота","воскресенье"))</f>
        <v/>
      </c>
      <c r="D29" s="19">
        <f>IF(B29="","",WEEKNUM(B29,21))</f>
        <v/>
      </c>
      <c r="E29" s="19">
        <f>IF(B29="","",MONTH(B29))</f>
        <v/>
      </c>
      <c r="F29" s="19">
        <f>IF(B29="","",IF(WEEKDAY(B29,2)&gt;=6,"вых","раб"))</f>
        <v/>
      </c>
      <c r="G29" s="21" t="n">
        <v>1</v>
      </c>
      <c r="H29" s="21" t="n"/>
      <c r="I29" s="21" t="n"/>
      <c r="J29" s="21" t="n"/>
      <c r="K29" s="21" t="n"/>
      <c r="L29" s="21" t="n"/>
      <c r="M29" s="22" t="n"/>
    </row>
    <row r="30">
      <c r="A30" s="19" t="n">
        <v>25</v>
      </c>
      <c r="B30" s="20">
        <f>IF(DATE(Анкета!$C$12,1,1)+24&gt;DATE(Анкета!$C$12,12,31),"",DATE(Анкета!$C$12,1,1)+24)</f>
        <v/>
      </c>
      <c r="C30" s="19">
        <f>IF(B30="","",CHOOSE(WEEKDAY(B30,2),"понедельник","вторник","среда","четверг","пятница","суббота","воскресенье"))</f>
        <v/>
      </c>
      <c r="D30" s="19">
        <f>IF(B30="","",WEEKNUM(B30,21))</f>
        <v/>
      </c>
      <c r="E30" s="19">
        <f>IF(B30="","",MONTH(B30))</f>
        <v/>
      </c>
      <c r="F30" s="19">
        <f>IF(B30="","",IF(WEEKDAY(B30,2)&gt;=6,"вых","раб"))</f>
        <v/>
      </c>
      <c r="G30" s="21" t="n">
        <v>1</v>
      </c>
      <c r="H30" s="21" t="n"/>
      <c r="I30" s="21" t="n"/>
      <c r="J30" s="21" t="n"/>
      <c r="K30" s="21" t="n"/>
      <c r="L30" s="21" t="n"/>
      <c r="M30" s="22" t="n"/>
    </row>
    <row r="31">
      <c r="A31" s="19" t="n">
        <v>26</v>
      </c>
      <c r="B31" s="20">
        <f>IF(DATE(Анкета!$C$12,1,1)+25&gt;DATE(Анкета!$C$12,12,31),"",DATE(Анкета!$C$12,1,1)+25)</f>
        <v/>
      </c>
      <c r="C31" s="19">
        <f>IF(B31="","",CHOOSE(WEEKDAY(B31,2),"понедельник","вторник","среда","четверг","пятница","суббота","воскресенье"))</f>
        <v/>
      </c>
      <c r="D31" s="19">
        <f>IF(B31="","",WEEKNUM(B31,21))</f>
        <v/>
      </c>
      <c r="E31" s="19">
        <f>IF(B31="","",MONTH(B31))</f>
        <v/>
      </c>
      <c r="F31" s="19">
        <f>IF(B31="","",IF(WEEKDAY(B31,2)&gt;=6,"вых","раб"))</f>
        <v/>
      </c>
      <c r="G31" s="21" t="n">
        <v>1</v>
      </c>
      <c r="H31" s="21" t="n"/>
      <c r="I31" s="21" t="n"/>
      <c r="J31" s="21" t="n"/>
      <c r="K31" s="21" t="n"/>
      <c r="L31" s="21" t="n"/>
      <c r="M31" s="22" t="n"/>
    </row>
    <row r="32">
      <c r="A32" s="19" t="n">
        <v>27</v>
      </c>
      <c r="B32" s="20">
        <f>IF(DATE(Анкета!$C$12,1,1)+26&gt;DATE(Анкета!$C$12,12,31),"",DATE(Анкета!$C$12,1,1)+26)</f>
        <v/>
      </c>
      <c r="C32" s="19">
        <f>IF(B32="","",CHOOSE(WEEKDAY(B32,2),"понедельник","вторник","среда","четверг","пятница","суббота","воскресенье"))</f>
        <v/>
      </c>
      <c r="D32" s="19">
        <f>IF(B32="","",WEEKNUM(B32,21))</f>
        <v/>
      </c>
      <c r="E32" s="19">
        <f>IF(B32="","",MONTH(B32))</f>
        <v/>
      </c>
      <c r="F32" s="19">
        <f>IF(B32="","",IF(WEEKDAY(B32,2)&gt;=6,"вых","раб"))</f>
        <v/>
      </c>
      <c r="G32" s="21" t="n">
        <v>1</v>
      </c>
      <c r="H32" s="21" t="n"/>
      <c r="I32" s="21" t="n"/>
      <c r="J32" s="21" t="n"/>
      <c r="K32" s="21" t="n"/>
      <c r="L32" s="21" t="n"/>
      <c r="M32" s="22" t="n"/>
    </row>
    <row r="33">
      <c r="A33" s="19" t="n">
        <v>28</v>
      </c>
      <c r="B33" s="20">
        <f>IF(DATE(Анкета!$C$12,1,1)+27&gt;DATE(Анкета!$C$12,12,31),"",DATE(Анкета!$C$12,1,1)+27)</f>
        <v/>
      </c>
      <c r="C33" s="19">
        <f>IF(B33="","",CHOOSE(WEEKDAY(B33,2),"понедельник","вторник","среда","четверг","пятница","суббота","воскресенье"))</f>
        <v/>
      </c>
      <c r="D33" s="19">
        <f>IF(B33="","",WEEKNUM(B33,21))</f>
        <v/>
      </c>
      <c r="E33" s="19">
        <f>IF(B33="","",MONTH(B33))</f>
        <v/>
      </c>
      <c r="F33" s="19">
        <f>IF(B33="","",IF(WEEKDAY(B33,2)&gt;=6,"вых","раб"))</f>
        <v/>
      </c>
      <c r="G33" s="21" t="n">
        <v>1</v>
      </c>
      <c r="H33" s="21" t="n"/>
      <c r="I33" s="21" t="n"/>
      <c r="J33" s="21" t="n"/>
      <c r="K33" s="21" t="n"/>
      <c r="L33" s="21" t="n"/>
      <c r="M33" s="22" t="n"/>
    </row>
    <row r="34">
      <c r="A34" s="19" t="n">
        <v>29</v>
      </c>
      <c r="B34" s="20">
        <f>IF(DATE(Анкета!$C$12,1,1)+28&gt;DATE(Анкета!$C$12,12,31),"",DATE(Анкета!$C$12,1,1)+28)</f>
        <v/>
      </c>
      <c r="C34" s="19">
        <f>IF(B34="","",CHOOSE(WEEKDAY(B34,2),"понедельник","вторник","среда","четверг","пятница","суббота","воскресенье"))</f>
        <v/>
      </c>
      <c r="D34" s="19">
        <f>IF(B34="","",WEEKNUM(B34,21))</f>
        <v/>
      </c>
      <c r="E34" s="19">
        <f>IF(B34="","",MONTH(B34))</f>
        <v/>
      </c>
      <c r="F34" s="19">
        <f>IF(B34="","",IF(WEEKDAY(B34,2)&gt;=6,"вых","раб"))</f>
        <v/>
      </c>
      <c r="G34" s="21" t="n">
        <v>1</v>
      </c>
      <c r="H34" s="21" t="n"/>
      <c r="I34" s="21" t="n"/>
      <c r="J34" s="21" t="n"/>
      <c r="K34" s="21" t="n"/>
      <c r="L34" s="21" t="n"/>
      <c r="M34" s="22" t="n"/>
    </row>
    <row r="35">
      <c r="A35" s="19" t="n">
        <v>30</v>
      </c>
      <c r="B35" s="20">
        <f>IF(DATE(Анкета!$C$12,1,1)+29&gt;DATE(Анкета!$C$12,12,31),"",DATE(Анкета!$C$12,1,1)+29)</f>
        <v/>
      </c>
      <c r="C35" s="19">
        <f>IF(B35="","",CHOOSE(WEEKDAY(B35,2),"понедельник","вторник","среда","четверг","пятница","суббота","воскресенье"))</f>
        <v/>
      </c>
      <c r="D35" s="19">
        <f>IF(B35="","",WEEKNUM(B35,21))</f>
        <v/>
      </c>
      <c r="E35" s="19">
        <f>IF(B35="","",MONTH(B35))</f>
        <v/>
      </c>
      <c r="F35" s="19">
        <f>IF(B35="","",IF(WEEKDAY(B35,2)&gt;=6,"вых","раб"))</f>
        <v/>
      </c>
      <c r="G35" s="21" t="n">
        <v>1</v>
      </c>
      <c r="H35" s="21" t="n"/>
      <c r="I35" s="21" t="n"/>
      <c r="J35" s="21" t="n"/>
      <c r="K35" s="21" t="n"/>
      <c r="L35" s="21" t="n"/>
      <c r="M35" s="22" t="n"/>
    </row>
    <row r="36">
      <c r="A36" s="19" t="n">
        <v>31</v>
      </c>
      <c r="B36" s="20">
        <f>IF(DATE(Анкета!$C$12,1,1)+30&gt;DATE(Анкета!$C$12,12,31),"",DATE(Анкета!$C$12,1,1)+30)</f>
        <v/>
      </c>
      <c r="C36" s="19">
        <f>IF(B36="","",CHOOSE(WEEKDAY(B36,2),"понедельник","вторник","среда","четверг","пятница","суббота","воскресенье"))</f>
        <v/>
      </c>
      <c r="D36" s="19">
        <f>IF(B36="","",WEEKNUM(B36,21))</f>
        <v/>
      </c>
      <c r="E36" s="19">
        <f>IF(B36="","",MONTH(B36))</f>
        <v/>
      </c>
      <c r="F36" s="19">
        <f>IF(B36="","",IF(WEEKDAY(B36,2)&gt;=6,"вых","раб"))</f>
        <v/>
      </c>
      <c r="G36" s="21" t="n"/>
      <c r="H36" s="21" t="n"/>
      <c r="I36" s="21" t="n"/>
      <c r="J36" s="21" t="n"/>
      <c r="K36" s="21" t="n"/>
      <c r="L36" s="21" t="n"/>
      <c r="M36" s="22" t="n"/>
    </row>
    <row r="37">
      <c r="A37" s="19" t="n">
        <v>32</v>
      </c>
      <c r="B37" s="20">
        <f>IF(DATE(Анкета!$C$12,1,1)+31&gt;DATE(Анкета!$C$12,12,31),"",DATE(Анкета!$C$12,1,1)+31)</f>
        <v/>
      </c>
      <c r="C37" s="19">
        <f>IF(B37="","",CHOOSE(WEEKDAY(B37,2),"понедельник","вторник","среда","четверг","пятница","суббота","воскресенье"))</f>
        <v/>
      </c>
      <c r="D37" s="19">
        <f>IF(B37="","",WEEKNUM(B37,21))</f>
        <v/>
      </c>
      <c r="E37" s="19">
        <f>IF(B37="","",MONTH(B37))</f>
        <v/>
      </c>
      <c r="F37" s="19">
        <f>IF(B37="","",IF(WEEKDAY(B37,2)&gt;=6,"вых","раб"))</f>
        <v/>
      </c>
      <c r="G37" s="21" t="n"/>
      <c r="H37" s="21" t="n"/>
      <c r="I37" s="21" t="n"/>
      <c r="J37" s="21" t="n"/>
      <c r="K37" s="21" t="n"/>
      <c r="L37" s="21" t="n"/>
      <c r="M37" s="22" t="n"/>
    </row>
    <row r="38">
      <c r="A38" s="19" t="n">
        <v>33</v>
      </c>
      <c r="B38" s="20">
        <f>IF(DATE(Анкета!$C$12,1,1)+32&gt;DATE(Анкета!$C$12,12,31),"",DATE(Анкета!$C$12,1,1)+32)</f>
        <v/>
      </c>
      <c r="C38" s="19">
        <f>IF(B38="","",CHOOSE(WEEKDAY(B38,2),"понедельник","вторник","среда","четверг","пятница","суббота","воскресенье"))</f>
        <v/>
      </c>
      <c r="D38" s="19">
        <f>IF(B38="","",WEEKNUM(B38,21))</f>
        <v/>
      </c>
      <c r="E38" s="19">
        <f>IF(B38="","",MONTH(B38))</f>
        <v/>
      </c>
      <c r="F38" s="19">
        <f>IF(B38="","",IF(WEEKDAY(B38,2)&gt;=6,"вых","раб"))</f>
        <v/>
      </c>
      <c r="G38" s="21" t="n"/>
      <c r="H38" s="21" t="n"/>
      <c r="I38" s="21" t="n"/>
      <c r="J38" s="21" t="n"/>
      <c r="K38" s="21" t="n"/>
      <c r="L38" s="21" t="n"/>
      <c r="M38" s="22" t="n"/>
    </row>
    <row r="39">
      <c r="A39" s="19" t="n">
        <v>34</v>
      </c>
      <c r="B39" s="20">
        <f>IF(DATE(Анкета!$C$12,1,1)+33&gt;DATE(Анкета!$C$12,12,31),"",DATE(Анкета!$C$12,1,1)+33)</f>
        <v/>
      </c>
      <c r="C39" s="19">
        <f>IF(B39="","",CHOOSE(WEEKDAY(B39,2),"понедельник","вторник","среда","четверг","пятница","суббота","воскресенье"))</f>
        <v/>
      </c>
      <c r="D39" s="19">
        <f>IF(B39="","",WEEKNUM(B39,21))</f>
        <v/>
      </c>
      <c r="E39" s="19">
        <f>IF(B39="","",MONTH(B39))</f>
        <v/>
      </c>
      <c r="F39" s="19">
        <f>IF(B39="","",IF(WEEKDAY(B39,2)&gt;=6,"вых","раб"))</f>
        <v/>
      </c>
      <c r="G39" s="21" t="n"/>
      <c r="H39" s="21" t="n"/>
      <c r="I39" s="21" t="n"/>
      <c r="J39" s="21" t="n"/>
      <c r="K39" s="21" t="n"/>
      <c r="L39" s="21" t="n"/>
      <c r="M39" s="22" t="n"/>
    </row>
    <row r="40">
      <c r="A40" s="19" t="n">
        <v>35</v>
      </c>
      <c r="B40" s="20">
        <f>IF(DATE(Анкета!$C$12,1,1)+34&gt;DATE(Анкета!$C$12,12,31),"",DATE(Анкета!$C$12,1,1)+34)</f>
        <v/>
      </c>
      <c r="C40" s="19">
        <f>IF(B40="","",CHOOSE(WEEKDAY(B40,2),"понедельник","вторник","среда","четверг","пятница","суббота","воскресенье"))</f>
        <v/>
      </c>
      <c r="D40" s="19">
        <f>IF(B40="","",WEEKNUM(B40,21))</f>
        <v/>
      </c>
      <c r="E40" s="19">
        <f>IF(B40="","",MONTH(B40))</f>
        <v/>
      </c>
      <c r="F40" s="19">
        <f>IF(B40="","",IF(WEEKDAY(B40,2)&gt;=6,"вых","раб"))</f>
        <v/>
      </c>
      <c r="G40" s="21" t="n"/>
      <c r="H40" s="21" t="n"/>
      <c r="I40" s="21" t="n"/>
      <c r="J40" s="21" t="n"/>
      <c r="K40" s="21" t="n"/>
      <c r="L40" s="21" t="n"/>
      <c r="M40" s="22" t="n"/>
    </row>
    <row r="41">
      <c r="A41" s="19" t="n">
        <v>36</v>
      </c>
      <c r="B41" s="20">
        <f>IF(DATE(Анкета!$C$12,1,1)+35&gt;DATE(Анкета!$C$12,12,31),"",DATE(Анкета!$C$12,1,1)+35)</f>
        <v/>
      </c>
      <c r="C41" s="19">
        <f>IF(B41="","",CHOOSE(WEEKDAY(B41,2),"понедельник","вторник","среда","четверг","пятница","суббота","воскресенье"))</f>
        <v/>
      </c>
      <c r="D41" s="19">
        <f>IF(B41="","",WEEKNUM(B41,21))</f>
        <v/>
      </c>
      <c r="E41" s="19">
        <f>IF(B41="","",MONTH(B41))</f>
        <v/>
      </c>
      <c r="F41" s="19">
        <f>IF(B41="","",IF(WEEKDAY(B41,2)&gt;=6,"вых","раб"))</f>
        <v/>
      </c>
      <c r="G41" s="21" t="n"/>
      <c r="H41" s="21" t="n"/>
      <c r="I41" s="21" t="n"/>
      <c r="J41" s="21" t="n"/>
      <c r="K41" s="21" t="n"/>
      <c r="L41" s="21" t="n"/>
      <c r="M41" s="22" t="n"/>
    </row>
    <row r="42">
      <c r="A42" s="19" t="n">
        <v>37</v>
      </c>
      <c r="B42" s="20">
        <f>IF(DATE(Анкета!$C$12,1,1)+36&gt;DATE(Анкета!$C$12,12,31),"",DATE(Анкета!$C$12,1,1)+36)</f>
        <v/>
      </c>
      <c r="C42" s="19">
        <f>IF(B42="","",CHOOSE(WEEKDAY(B42,2),"понедельник","вторник","среда","четверг","пятница","суббота","воскресенье"))</f>
        <v/>
      </c>
      <c r="D42" s="19">
        <f>IF(B42="","",WEEKNUM(B42,21))</f>
        <v/>
      </c>
      <c r="E42" s="19">
        <f>IF(B42="","",MONTH(B42))</f>
        <v/>
      </c>
      <c r="F42" s="19">
        <f>IF(B42="","",IF(WEEKDAY(B42,2)&gt;=6,"вых","раб"))</f>
        <v/>
      </c>
      <c r="G42" s="21" t="n"/>
      <c r="H42" s="21" t="n"/>
      <c r="I42" s="21" t="n"/>
      <c r="J42" s="21" t="n"/>
      <c r="K42" s="21" t="n"/>
      <c r="L42" s="21" t="n"/>
      <c r="M42" s="22" t="n"/>
    </row>
    <row r="43">
      <c r="A43" s="19" t="n">
        <v>38</v>
      </c>
      <c r="B43" s="20">
        <f>IF(DATE(Анкета!$C$12,1,1)+37&gt;DATE(Анкета!$C$12,12,31),"",DATE(Анкета!$C$12,1,1)+37)</f>
        <v/>
      </c>
      <c r="C43" s="19">
        <f>IF(B43="","",CHOOSE(WEEKDAY(B43,2),"понедельник","вторник","среда","четверг","пятница","суббота","воскресенье"))</f>
        <v/>
      </c>
      <c r="D43" s="19">
        <f>IF(B43="","",WEEKNUM(B43,21))</f>
        <v/>
      </c>
      <c r="E43" s="19">
        <f>IF(B43="","",MONTH(B43))</f>
        <v/>
      </c>
      <c r="F43" s="19">
        <f>IF(B43="","",IF(WEEKDAY(B43,2)&gt;=6,"вых","раб"))</f>
        <v/>
      </c>
      <c r="G43" s="21" t="n"/>
      <c r="H43" s="21" t="n"/>
      <c r="I43" s="21" t="n"/>
      <c r="J43" s="21" t="n"/>
      <c r="K43" s="21" t="n"/>
      <c r="L43" s="21" t="n"/>
      <c r="M43" s="22" t="n"/>
    </row>
    <row r="44">
      <c r="A44" s="19" t="n">
        <v>39</v>
      </c>
      <c r="B44" s="20">
        <f>IF(DATE(Анкета!$C$12,1,1)+38&gt;DATE(Анкета!$C$12,12,31),"",DATE(Анкета!$C$12,1,1)+38)</f>
        <v/>
      </c>
      <c r="C44" s="19">
        <f>IF(B44="","",CHOOSE(WEEKDAY(B44,2),"понедельник","вторник","среда","четверг","пятница","суббота","воскресенье"))</f>
        <v/>
      </c>
      <c r="D44" s="19">
        <f>IF(B44="","",WEEKNUM(B44,21))</f>
        <v/>
      </c>
      <c r="E44" s="19">
        <f>IF(B44="","",MONTH(B44))</f>
        <v/>
      </c>
      <c r="F44" s="19">
        <f>IF(B44="","",IF(WEEKDAY(B44,2)&gt;=6,"вых","раб"))</f>
        <v/>
      </c>
      <c r="G44" s="21" t="n"/>
      <c r="H44" s="21" t="n"/>
      <c r="I44" s="21" t="n"/>
      <c r="J44" s="21" t="n"/>
      <c r="K44" s="21" t="n"/>
      <c r="L44" s="21" t="n"/>
      <c r="M44" s="22" t="n"/>
    </row>
    <row r="45">
      <c r="A45" s="19" t="n">
        <v>40</v>
      </c>
      <c r="B45" s="20">
        <f>IF(DATE(Анкета!$C$12,1,1)+39&gt;DATE(Анкета!$C$12,12,31),"",DATE(Анкета!$C$12,1,1)+39)</f>
        <v/>
      </c>
      <c r="C45" s="19">
        <f>IF(B45="","",CHOOSE(WEEKDAY(B45,2),"понедельник","вторник","среда","четверг","пятница","суббота","воскресенье"))</f>
        <v/>
      </c>
      <c r="D45" s="19">
        <f>IF(B45="","",WEEKNUM(B45,21))</f>
        <v/>
      </c>
      <c r="E45" s="19">
        <f>IF(B45="","",MONTH(B45))</f>
        <v/>
      </c>
      <c r="F45" s="19">
        <f>IF(B45="","",IF(WEEKDAY(B45,2)&gt;=6,"вых","раб"))</f>
        <v/>
      </c>
      <c r="G45" s="21" t="n"/>
      <c r="H45" s="21" t="n"/>
      <c r="I45" s="21" t="n"/>
      <c r="J45" s="21" t="n"/>
      <c r="K45" s="21" t="n"/>
      <c r="L45" s="21" t="n"/>
      <c r="M45" s="22" t="n"/>
    </row>
    <row r="46">
      <c r="A46" s="19" t="n">
        <v>41</v>
      </c>
      <c r="B46" s="20">
        <f>IF(DATE(Анкета!$C$12,1,1)+40&gt;DATE(Анкета!$C$12,12,31),"",DATE(Анкета!$C$12,1,1)+40)</f>
        <v/>
      </c>
      <c r="C46" s="19">
        <f>IF(B46="","",CHOOSE(WEEKDAY(B46,2),"понедельник","вторник","среда","четверг","пятница","суббота","воскресенье"))</f>
        <v/>
      </c>
      <c r="D46" s="19">
        <f>IF(B46="","",WEEKNUM(B46,21))</f>
        <v/>
      </c>
      <c r="E46" s="19">
        <f>IF(B46="","",MONTH(B46))</f>
        <v/>
      </c>
      <c r="F46" s="19">
        <f>IF(B46="","",IF(WEEKDAY(B46,2)&gt;=6,"вых","раб"))</f>
        <v/>
      </c>
      <c r="G46" s="21" t="n"/>
      <c r="H46" s="21" t="n"/>
      <c r="I46" s="21" t="n"/>
      <c r="J46" s="21" t="n"/>
      <c r="K46" s="21" t="n"/>
      <c r="L46" s="21" t="n"/>
      <c r="M46" s="22" t="n"/>
    </row>
    <row r="47">
      <c r="A47" s="19" t="n">
        <v>42</v>
      </c>
      <c r="B47" s="20">
        <f>IF(DATE(Анкета!$C$12,1,1)+41&gt;DATE(Анкета!$C$12,12,31),"",DATE(Анкета!$C$12,1,1)+41)</f>
        <v/>
      </c>
      <c r="C47" s="19">
        <f>IF(B47="","",CHOOSE(WEEKDAY(B47,2),"понедельник","вторник","среда","четверг","пятница","суббота","воскресенье"))</f>
        <v/>
      </c>
      <c r="D47" s="19">
        <f>IF(B47="","",WEEKNUM(B47,21))</f>
        <v/>
      </c>
      <c r="E47" s="19">
        <f>IF(B47="","",MONTH(B47))</f>
        <v/>
      </c>
      <c r="F47" s="19">
        <f>IF(B47="","",IF(WEEKDAY(B47,2)&gt;=6,"вых","раб"))</f>
        <v/>
      </c>
      <c r="G47" s="21" t="n"/>
      <c r="H47" s="21" t="n"/>
      <c r="I47" s="21" t="n"/>
      <c r="J47" s="21" t="n"/>
      <c r="K47" s="21" t="n"/>
      <c r="L47" s="21" t="n"/>
      <c r="M47" s="22" t="n"/>
    </row>
    <row r="48">
      <c r="A48" s="19" t="n">
        <v>43</v>
      </c>
      <c r="B48" s="20">
        <f>IF(DATE(Анкета!$C$12,1,1)+42&gt;DATE(Анкета!$C$12,12,31),"",DATE(Анкета!$C$12,1,1)+42)</f>
        <v/>
      </c>
      <c r="C48" s="19">
        <f>IF(B48="","",CHOOSE(WEEKDAY(B48,2),"понедельник","вторник","среда","четверг","пятница","суббота","воскресенье"))</f>
        <v/>
      </c>
      <c r="D48" s="19">
        <f>IF(B48="","",WEEKNUM(B48,21))</f>
        <v/>
      </c>
      <c r="E48" s="19">
        <f>IF(B48="","",MONTH(B48))</f>
        <v/>
      </c>
      <c r="F48" s="19">
        <f>IF(B48="","",IF(WEEKDAY(B48,2)&gt;=6,"вых","раб"))</f>
        <v/>
      </c>
      <c r="G48" s="21" t="n"/>
      <c r="H48" s="21" t="n"/>
      <c r="I48" s="21" t="n"/>
      <c r="J48" s="21" t="n"/>
      <c r="K48" s="21" t="n"/>
      <c r="L48" s="21" t="n"/>
      <c r="M48" s="22" t="n"/>
    </row>
    <row r="49">
      <c r="A49" s="19" t="n">
        <v>44</v>
      </c>
      <c r="B49" s="20">
        <f>IF(DATE(Анкета!$C$12,1,1)+43&gt;DATE(Анкета!$C$12,12,31),"",DATE(Анкета!$C$12,1,1)+43)</f>
        <v/>
      </c>
      <c r="C49" s="19">
        <f>IF(B49="","",CHOOSE(WEEKDAY(B49,2),"понедельник","вторник","среда","четверг","пятница","суббота","воскресенье"))</f>
        <v/>
      </c>
      <c r="D49" s="19">
        <f>IF(B49="","",WEEKNUM(B49,21))</f>
        <v/>
      </c>
      <c r="E49" s="19">
        <f>IF(B49="","",MONTH(B49))</f>
        <v/>
      </c>
      <c r="F49" s="19">
        <f>IF(B49="","",IF(WEEKDAY(B49,2)&gt;=6,"вых","раб"))</f>
        <v/>
      </c>
      <c r="G49" s="21" t="n"/>
      <c r="H49" s="21" t="n"/>
      <c r="I49" s="21" t="n"/>
      <c r="J49" s="21" t="n"/>
      <c r="K49" s="21" t="n"/>
      <c r="L49" s="21" t="n"/>
      <c r="M49" s="22" t="n"/>
    </row>
    <row r="50">
      <c r="A50" s="19" t="n">
        <v>45</v>
      </c>
      <c r="B50" s="20">
        <f>IF(DATE(Анкета!$C$12,1,1)+44&gt;DATE(Анкета!$C$12,12,31),"",DATE(Анкета!$C$12,1,1)+44)</f>
        <v/>
      </c>
      <c r="C50" s="19">
        <f>IF(B50="","",CHOOSE(WEEKDAY(B50,2),"понедельник","вторник","среда","четверг","пятница","суббота","воскресенье"))</f>
        <v/>
      </c>
      <c r="D50" s="19">
        <f>IF(B50="","",WEEKNUM(B50,21))</f>
        <v/>
      </c>
      <c r="E50" s="19">
        <f>IF(B50="","",MONTH(B50))</f>
        <v/>
      </c>
      <c r="F50" s="19">
        <f>IF(B50="","",IF(WEEKDAY(B50,2)&gt;=6,"вых","раб"))</f>
        <v/>
      </c>
      <c r="G50" s="21" t="n"/>
      <c r="H50" s="21" t="n"/>
      <c r="I50" s="21" t="n"/>
      <c r="J50" s="21" t="n"/>
      <c r="K50" s="21" t="n"/>
      <c r="L50" s="21" t="n"/>
      <c r="M50" s="22" t="n"/>
    </row>
    <row r="51">
      <c r="A51" s="19" t="n">
        <v>46</v>
      </c>
      <c r="B51" s="20">
        <f>IF(DATE(Анкета!$C$12,1,1)+45&gt;DATE(Анкета!$C$12,12,31),"",DATE(Анкета!$C$12,1,1)+45)</f>
        <v/>
      </c>
      <c r="C51" s="19">
        <f>IF(B51="","",CHOOSE(WEEKDAY(B51,2),"понедельник","вторник","среда","четверг","пятница","суббота","воскресенье"))</f>
        <v/>
      </c>
      <c r="D51" s="19">
        <f>IF(B51="","",WEEKNUM(B51,21))</f>
        <v/>
      </c>
      <c r="E51" s="19">
        <f>IF(B51="","",MONTH(B51))</f>
        <v/>
      </c>
      <c r="F51" s="19">
        <f>IF(B51="","",IF(WEEKDAY(B51,2)&gt;=6,"вых","раб"))</f>
        <v/>
      </c>
      <c r="G51" s="21" t="n"/>
      <c r="H51" s="21" t="n"/>
      <c r="I51" s="21" t="n"/>
      <c r="J51" s="21" t="n"/>
      <c r="K51" s="21" t="n"/>
      <c r="L51" s="21" t="n"/>
      <c r="M51" s="22" t="n"/>
    </row>
    <row r="52">
      <c r="A52" s="19" t="n">
        <v>47</v>
      </c>
      <c r="B52" s="20">
        <f>IF(DATE(Анкета!$C$12,1,1)+46&gt;DATE(Анкета!$C$12,12,31),"",DATE(Анкета!$C$12,1,1)+46)</f>
        <v/>
      </c>
      <c r="C52" s="19">
        <f>IF(B52="","",CHOOSE(WEEKDAY(B52,2),"понедельник","вторник","среда","четверг","пятница","суббота","воскресенье"))</f>
        <v/>
      </c>
      <c r="D52" s="19">
        <f>IF(B52="","",WEEKNUM(B52,21))</f>
        <v/>
      </c>
      <c r="E52" s="19">
        <f>IF(B52="","",MONTH(B52))</f>
        <v/>
      </c>
      <c r="F52" s="19">
        <f>IF(B52="","",IF(WEEKDAY(B52,2)&gt;=6,"вых","раб"))</f>
        <v/>
      </c>
      <c r="G52" s="21" t="n"/>
      <c r="H52" s="21" t="n"/>
      <c r="I52" s="21" t="n"/>
      <c r="J52" s="21" t="n"/>
      <c r="K52" s="21" t="n"/>
      <c r="L52" s="21" t="n"/>
      <c r="M52" s="22" t="n"/>
    </row>
    <row r="53">
      <c r="A53" s="19" t="n">
        <v>48</v>
      </c>
      <c r="B53" s="20">
        <f>IF(DATE(Анкета!$C$12,1,1)+47&gt;DATE(Анкета!$C$12,12,31),"",DATE(Анкета!$C$12,1,1)+47)</f>
        <v/>
      </c>
      <c r="C53" s="19">
        <f>IF(B53="","",CHOOSE(WEEKDAY(B53,2),"понедельник","вторник","среда","четверг","пятница","суббота","воскресенье"))</f>
        <v/>
      </c>
      <c r="D53" s="19">
        <f>IF(B53="","",WEEKNUM(B53,21))</f>
        <v/>
      </c>
      <c r="E53" s="19">
        <f>IF(B53="","",MONTH(B53))</f>
        <v/>
      </c>
      <c r="F53" s="19">
        <f>IF(B53="","",IF(WEEKDAY(B53,2)&gt;=6,"вых","раб"))</f>
        <v/>
      </c>
      <c r="G53" s="21" t="n"/>
      <c r="H53" s="21" t="n"/>
      <c r="I53" s="21" t="n"/>
      <c r="J53" s="21" t="n"/>
      <c r="K53" s="21" t="n"/>
      <c r="L53" s="21" t="n"/>
      <c r="M53" s="22" t="n"/>
    </row>
    <row r="54">
      <c r="A54" s="19" t="n">
        <v>49</v>
      </c>
      <c r="B54" s="20">
        <f>IF(DATE(Анкета!$C$12,1,1)+48&gt;DATE(Анкета!$C$12,12,31),"",DATE(Анкета!$C$12,1,1)+48)</f>
        <v/>
      </c>
      <c r="C54" s="19">
        <f>IF(B54="","",CHOOSE(WEEKDAY(B54,2),"понедельник","вторник","среда","четверг","пятница","суббота","воскресенье"))</f>
        <v/>
      </c>
      <c r="D54" s="19">
        <f>IF(B54="","",WEEKNUM(B54,21))</f>
        <v/>
      </c>
      <c r="E54" s="19">
        <f>IF(B54="","",MONTH(B54))</f>
        <v/>
      </c>
      <c r="F54" s="19">
        <f>IF(B54="","",IF(WEEKDAY(B54,2)&gt;=6,"вых","раб"))</f>
        <v/>
      </c>
      <c r="G54" s="21" t="n"/>
      <c r="H54" s="21" t="n"/>
      <c r="I54" s="21" t="n"/>
      <c r="J54" s="21" t="n"/>
      <c r="K54" s="21" t="n"/>
      <c r="L54" s="21" t="n"/>
      <c r="M54" s="22" t="n"/>
    </row>
    <row r="55">
      <c r="A55" s="19" t="n">
        <v>50</v>
      </c>
      <c r="B55" s="20">
        <f>IF(DATE(Анкета!$C$12,1,1)+49&gt;DATE(Анкета!$C$12,12,31),"",DATE(Анкета!$C$12,1,1)+49)</f>
        <v/>
      </c>
      <c r="C55" s="19">
        <f>IF(B55="","",CHOOSE(WEEKDAY(B55,2),"понедельник","вторник","среда","четверг","пятница","суббота","воскресенье"))</f>
        <v/>
      </c>
      <c r="D55" s="19">
        <f>IF(B55="","",WEEKNUM(B55,21))</f>
        <v/>
      </c>
      <c r="E55" s="19">
        <f>IF(B55="","",MONTH(B55))</f>
        <v/>
      </c>
      <c r="F55" s="19">
        <f>IF(B55="","",IF(WEEKDAY(B55,2)&gt;=6,"вых","раб"))</f>
        <v/>
      </c>
      <c r="G55" s="21" t="n"/>
      <c r="H55" s="21" t="n"/>
      <c r="I55" s="21" t="n"/>
      <c r="J55" s="21" t="n"/>
      <c r="K55" s="21" t="n"/>
      <c r="L55" s="21" t="n"/>
      <c r="M55" s="22" t="n"/>
    </row>
    <row r="56">
      <c r="A56" s="19" t="n">
        <v>51</v>
      </c>
      <c r="B56" s="20">
        <f>IF(DATE(Анкета!$C$12,1,1)+50&gt;DATE(Анкета!$C$12,12,31),"",DATE(Анкета!$C$12,1,1)+50)</f>
        <v/>
      </c>
      <c r="C56" s="19">
        <f>IF(B56="","",CHOOSE(WEEKDAY(B56,2),"понедельник","вторник","среда","четверг","пятница","суббота","воскресенье"))</f>
        <v/>
      </c>
      <c r="D56" s="19">
        <f>IF(B56="","",WEEKNUM(B56,21))</f>
        <v/>
      </c>
      <c r="E56" s="19">
        <f>IF(B56="","",MONTH(B56))</f>
        <v/>
      </c>
      <c r="F56" s="19">
        <f>IF(B56="","",IF(WEEKDAY(B56,2)&gt;=6,"вых","раб"))</f>
        <v/>
      </c>
      <c r="G56" s="21" t="n"/>
      <c r="H56" s="21" t="n"/>
      <c r="I56" s="21" t="n"/>
      <c r="J56" s="21" t="n"/>
      <c r="K56" s="21" t="n"/>
      <c r="L56" s="21" t="n"/>
      <c r="M56" s="22" t="n"/>
    </row>
    <row r="57">
      <c r="A57" s="19" t="n">
        <v>52</v>
      </c>
      <c r="B57" s="20">
        <f>IF(DATE(Анкета!$C$12,1,1)+51&gt;DATE(Анкета!$C$12,12,31),"",DATE(Анкета!$C$12,1,1)+51)</f>
        <v/>
      </c>
      <c r="C57" s="19">
        <f>IF(B57="","",CHOOSE(WEEKDAY(B57,2),"понедельник","вторник","среда","четверг","пятница","суббота","воскресенье"))</f>
        <v/>
      </c>
      <c r="D57" s="19">
        <f>IF(B57="","",WEEKNUM(B57,21))</f>
        <v/>
      </c>
      <c r="E57" s="19">
        <f>IF(B57="","",MONTH(B57))</f>
        <v/>
      </c>
      <c r="F57" s="19">
        <f>IF(B57="","",IF(WEEKDAY(B57,2)&gt;=6,"вых","раб"))</f>
        <v/>
      </c>
      <c r="G57" s="21" t="n"/>
      <c r="H57" s="21" t="n"/>
      <c r="I57" s="21" t="n"/>
      <c r="J57" s="21" t="n"/>
      <c r="K57" s="21" t="n"/>
      <c r="L57" s="21" t="n"/>
      <c r="M57" s="22" t="n"/>
    </row>
    <row r="58">
      <c r="A58" s="19" t="n">
        <v>53</v>
      </c>
      <c r="B58" s="20">
        <f>IF(DATE(Анкета!$C$12,1,1)+52&gt;DATE(Анкета!$C$12,12,31),"",DATE(Анкета!$C$12,1,1)+52)</f>
        <v/>
      </c>
      <c r="C58" s="19">
        <f>IF(B58="","",CHOOSE(WEEKDAY(B58,2),"понедельник","вторник","среда","четверг","пятница","суббота","воскресенье"))</f>
        <v/>
      </c>
      <c r="D58" s="19">
        <f>IF(B58="","",WEEKNUM(B58,21))</f>
        <v/>
      </c>
      <c r="E58" s="19">
        <f>IF(B58="","",MONTH(B58))</f>
        <v/>
      </c>
      <c r="F58" s="19">
        <f>IF(B58="","",IF(WEEKDAY(B58,2)&gt;=6,"вых","раб"))</f>
        <v/>
      </c>
      <c r="G58" s="21" t="n"/>
      <c r="H58" s="21" t="n"/>
      <c r="I58" s="21" t="n"/>
      <c r="J58" s="21" t="n"/>
      <c r="K58" s="21" t="n"/>
      <c r="L58" s="21" t="n"/>
      <c r="M58" s="22" t="n"/>
    </row>
    <row r="59">
      <c r="A59" s="19" t="n">
        <v>54</v>
      </c>
      <c r="B59" s="20">
        <f>IF(DATE(Анкета!$C$12,1,1)+53&gt;DATE(Анкета!$C$12,12,31),"",DATE(Анкета!$C$12,1,1)+53)</f>
        <v/>
      </c>
      <c r="C59" s="19">
        <f>IF(B59="","",CHOOSE(WEEKDAY(B59,2),"понедельник","вторник","среда","четверг","пятница","суббота","воскресенье"))</f>
        <v/>
      </c>
      <c r="D59" s="19">
        <f>IF(B59="","",WEEKNUM(B59,21))</f>
        <v/>
      </c>
      <c r="E59" s="19">
        <f>IF(B59="","",MONTH(B59))</f>
        <v/>
      </c>
      <c r="F59" s="19">
        <f>IF(B59="","",IF(WEEKDAY(B59,2)&gt;=6,"вых","раб"))</f>
        <v/>
      </c>
      <c r="G59" s="21" t="n"/>
      <c r="H59" s="21" t="n"/>
      <c r="I59" s="21" t="n"/>
      <c r="J59" s="21" t="n"/>
      <c r="K59" s="21" t="n"/>
      <c r="L59" s="21" t="n"/>
      <c r="M59" s="22" t="n"/>
    </row>
    <row r="60">
      <c r="A60" s="19" t="n">
        <v>55</v>
      </c>
      <c r="B60" s="20">
        <f>IF(DATE(Анкета!$C$12,1,1)+54&gt;DATE(Анкета!$C$12,12,31),"",DATE(Анкета!$C$12,1,1)+54)</f>
        <v/>
      </c>
      <c r="C60" s="19">
        <f>IF(B60="","",CHOOSE(WEEKDAY(B60,2),"понедельник","вторник","среда","четверг","пятница","суббота","воскресенье"))</f>
        <v/>
      </c>
      <c r="D60" s="19">
        <f>IF(B60="","",WEEKNUM(B60,21))</f>
        <v/>
      </c>
      <c r="E60" s="19">
        <f>IF(B60="","",MONTH(B60))</f>
        <v/>
      </c>
      <c r="F60" s="19">
        <f>IF(B60="","",IF(WEEKDAY(B60,2)&gt;=6,"вых","раб"))</f>
        <v/>
      </c>
      <c r="G60" s="21" t="n"/>
      <c r="H60" s="21" t="n"/>
      <c r="I60" s="21" t="n"/>
      <c r="J60" s="21" t="n"/>
      <c r="K60" s="21" t="n"/>
      <c r="L60" s="21" t="n"/>
      <c r="M60" s="22" t="n"/>
    </row>
    <row r="61">
      <c r="A61" s="19" t="n">
        <v>56</v>
      </c>
      <c r="B61" s="20">
        <f>IF(DATE(Анкета!$C$12,1,1)+55&gt;DATE(Анкета!$C$12,12,31),"",DATE(Анкета!$C$12,1,1)+55)</f>
        <v/>
      </c>
      <c r="C61" s="19">
        <f>IF(B61="","",CHOOSE(WEEKDAY(B61,2),"понедельник","вторник","среда","четверг","пятница","суббота","воскресенье"))</f>
        <v/>
      </c>
      <c r="D61" s="19">
        <f>IF(B61="","",WEEKNUM(B61,21))</f>
        <v/>
      </c>
      <c r="E61" s="19">
        <f>IF(B61="","",MONTH(B61))</f>
        <v/>
      </c>
      <c r="F61" s="19">
        <f>IF(B61="","",IF(WEEKDAY(B61,2)&gt;=6,"вых","раб"))</f>
        <v/>
      </c>
      <c r="G61" s="21" t="n"/>
      <c r="H61" s="21" t="n"/>
      <c r="I61" s="21" t="n"/>
      <c r="J61" s="21" t="n"/>
      <c r="K61" s="21" t="n"/>
      <c r="L61" s="21" t="n"/>
      <c r="M61" s="22" t="n"/>
    </row>
    <row r="62">
      <c r="A62" s="19" t="n">
        <v>57</v>
      </c>
      <c r="B62" s="20">
        <f>IF(DATE(Анкета!$C$12,1,1)+56&gt;DATE(Анкета!$C$12,12,31),"",DATE(Анкета!$C$12,1,1)+56)</f>
        <v/>
      </c>
      <c r="C62" s="19">
        <f>IF(B62="","",CHOOSE(WEEKDAY(B62,2),"понедельник","вторник","среда","четверг","пятница","суббота","воскресенье"))</f>
        <v/>
      </c>
      <c r="D62" s="19">
        <f>IF(B62="","",WEEKNUM(B62,21))</f>
        <v/>
      </c>
      <c r="E62" s="19">
        <f>IF(B62="","",MONTH(B62))</f>
        <v/>
      </c>
      <c r="F62" s="19">
        <f>IF(B62="","",IF(WEEKDAY(B62,2)&gt;=6,"вых","раб"))</f>
        <v/>
      </c>
      <c r="G62" s="21" t="n"/>
      <c r="H62" s="21" t="n"/>
      <c r="I62" s="21" t="n"/>
      <c r="J62" s="21" t="n"/>
      <c r="K62" s="21" t="n"/>
      <c r="L62" s="21" t="n"/>
      <c r="M62" s="22" t="n"/>
    </row>
    <row r="63">
      <c r="A63" s="19" t="n">
        <v>58</v>
      </c>
      <c r="B63" s="20">
        <f>IF(DATE(Анкета!$C$12,1,1)+57&gt;DATE(Анкета!$C$12,12,31),"",DATE(Анкета!$C$12,1,1)+57)</f>
        <v/>
      </c>
      <c r="C63" s="19">
        <f>IF(B63="","",CHOOSE(WEEKDAY(B63,2),"понедельник","вторник","среда","четверг","пятница","суббота","воскресенье"))</f>
        <v/>
      </c>
      <c r="D63" s="19">
        <f>IF(B63="","",WEEKNUM(B63,21))</f>
        <v/>
      </c>
      <c r="E63" s="19">
        <f>IF(B63="","",MONTH(B63))</f>
        <v/>
      </c>
      <c r="F63" s="19">
        <f>IF(B63="","",IF(WEEKDAY(B63,2)&gt;=6,"вых","раб"))</f>
        <v/>
      </c>
      <c r="G63" s="21" t="n"/>
      <c r="H63" s="21" t="n"/>
      <c r="I63" s="21" t="n"/>
      <c r="J63" s="21" t="n"/>
      <c r="K63" s="21" t="n"/>
      <c r="L63" s="21" t="n"/>
      <c r="M63" s="22" t="n"/>
    </row>
    <row r="64">
      <c r="A64" s="19" t="n">
        <v>59</v>
      </c>
      <c r="B64" s="20">
        <f>IF(DATE(Анкета!$C$12,1,1)+58&gt;DATE(Анкета!$C$12,12,31),"",DATE(Анкета!$C$12,1,1)+58)</f>
        <v/>
      </c>
      <c r="C64" s="19">
        <f>IF(B64="","",CHOOSE(WEEKDAY(B64,2),"понедельник","вторник","среда","четверг","пятница","суббота","воскресенье"))</f>
        <v/>
      </c>
      <c r="D64" s="19">
        <f>IF(B64="","",WEEKNUM(B64,21))</f>
        <v/>
      </c>
      <c r="E64" s="19">
        <f>IF(B64="","",MONTH(B64))</f>
        <v/>
      </c>
      <c r="F64" s="19">
        <f>IF(B64="","",IF(WEEKDAY(B64,2)&gt;=6,"вых","раб"))</f>
        <v/>
      </c>
      <c r="G64" s="21" t="n"/>
      <c r="H64" s="21" t="n"/>
      <c r="I64" s="21" t="n"/>
      <c r="J64" s="21" t="n"/>
      <c r="K64" s="21" t="n"/>
      <c r="L64" s="21" t="n"/>
      <c r="M64" s="22" t="n"/>
    </row>
    <row r="65">
      <c r="A65" s="19" t="n">
        <v>60</v>
      </c>
      <c r="B65" s="20">
        <f>IF(DATE(Анкета!$C$12,1,1)+59&gt;DATE(Анкета!$C$12,12,31),"",DATE(Анкета!$C$12,1,1)+59)</f>
        <v/>
      </c>
      <c r="C65" s="19">
        <f>IF(B65="","",CHOOSE(WEEKDAY(B65,2),"понедельник","вторник","среда","четверг","пятница","суббота","воскресенье"))</f>
        <v/>
      </c>
      <c r="D65" s="19">
        <f>IF(B65="","",WEEKNUM(B65,21))</f>
        <v/>
      </c>
      <c r="E65" s="19">
        <f>IF(B65="","",MONTH(B65))</f>
        <v/>
      </c>
      <c r="F65" s="19">
        <f>IF(B65="","",IF(WEEKDAY(B65,2)&gt;=6,"вых","раб"))</f>
        <v/>
      </c>
      <c r="G65" s="21" t="n"/>
      <c r="H65" s="21" t="n"/>
      <c r="I65" s="21" t="n"/>
      <c r="J65" s="21" t="n"/>
      <c r="K65" s="21" t="n"/>
      <c r="L65" s="21" t="n"/>
      <c r="M65" s="22" t="n"/>
    </row>
    <row r="66">
      <c r="A66" s="19" t="n">
        <v>61</v>
      </c>
      <c r="B66" s="20">
        <f>IF(DATE(Анкета!$C$12,1,1)+60&gt;DATE(Анкета!$C$12,12,31),"",DATE(Анкета!$C$12,1,1)+60)</f>
        <v/>
      </c>
      <c r="C66" s="19">
        <f>IF(B66="","",CHOOSE(WEEKDAY(B66,2),"понедельник","вторник","среда","четверг","пятница","суббота","воскресенье"))</f>
        <v/>
      </c>
      <c r="D66" s="19">
        <f>IF(B66="","",WEEKNUM(B66,21))</f>
        <v/>
      </c>
      <c r="E66" s="19">
        <f>IF(B66="","",MONTH(B66))</f>
        <v/>
      </c>
      <c r="F66" s="19">
        <f>IF(B66="","",IF(WEEKDAY(B66,2)&gt;=6,"вых","раб"))</f>
        <v/>
      </c>
      <c r="G66" s="21" t="n"/>
      <c r="H66" s="21" t="n"/>
      <c r="I66" s="21" t="n"/>
      <c r="J66" s="21" t="n"/>
      <c r="K66" s="21" t="n"/>
      <c r="L66" s="21" t="n"/>
      <c r="M66" s="22" t="n"/>
    </row>
    <row r="67">
      <c r="A67" s="19" t="n">
        <v>62</v>
      </c>
      <c r="B67" s="20">
        <f>IF(DATE(Анкета!$C$12,1,1)+61&gt;DATE(Анкета!$C$12,12,31),"",DATE(Анкета!$C$12,1,1)+61)</f>
        <v/>
      </c>
      <c r="C67" s="19">
        <f>IF(B67="","",CHOOSE(WEEKDAY(B67,2),"понедельник","вторник","среда","четверг","пятница","суббота","воскресенье"))</f>
        <v/>
      </c>
      <c r="D67" s="19">
        <f>IF(B67="","",WEEKNUM(B67,21))</f>
        <v/>
      </c>
      <c r="E67" s="19">
        <f>IF(B67="","",MONTH(B67))</f>
        <v/>
      </c>
      <c r="F67" s="19">
        <f>IF(B67="","",IF(WEEKDAY(B67,2)&gt;=6,"вых","раб"))</f>
        <v/>
      </c>
      <c r="G67" s="21" t="n"/>
      <c r="H67" s="21" t="n"/>
      <c r="I67" s="21" t="n"/>
      <c r="J67" s="21" t="n"/>
      <c r="K67" s="21" t="n"/>
      <c r="L67" s="21" t="n"/>
      <c r="M67" s="22" t="n"/>
    </row>
    <row r="68">
      <c r="A68" s="19" t="n">
        <v>63</v>
      </c>
      <c r="B68" s="20">
        <f>IF(DATE(Анкета!$C$12,1,1)+62&gt;DATE(Анкета!$C$12,12,31),"",DATE(Анкета!$C$12,1,1)+62)</f>
        <v/>
      </c>
      <c r="C68" s="19">
        <f>IF(B68="","",CHOOSE(WEEKDAY(B68,2),"понедельник","вторник","среда","четверг","пятница","суббота","воскресенье"))</f>
        <v/>
      </c>
      <c r="D68" s="19">
        <f>IF(B68="","",WEEKNUM(B68,21))</f>
        <v/>
      </c>
      <c r="E68" s="19">
        <f>IF(B68="","",MONTH(B68))</f>
        <v/>
      </c>
      <c r="F68" s="19">
        <f>IF(B68="","",IF(WEEKDAY(B68,2)&gt;=6,"вых","раб"))</f>
        <v/>
      </c>
      <c r="G68" s="21" t="n"/>
      <c r="H68" s="21" t="n"/>
      <c r="I68" s="21" t="n"/>
      <c r="J68" s="21" t="n"/>
      <c r="K68" s="21" t="n"/>
      <c r="L68" s="21" t="n"/>
      <c r="M68" s="22" t="n"/>
    </row>
    <row r="69">
      <c r="A69" s="19" t="n">
        <v>64</v>
      </c>
      <c r="B69" s="20">
        <f>IF(DATE(Анкета!$C$12,1,1)+63&gt;DATE(Анкета!$C$12,12,31),"",DATE(Анкета!$C$12,1,1)+63)</f>
        <v/>
      </c>
      <c r="C69" s="19">
        <f>IF(B69="","",CHOOSE(WEEKDAY(B69,2),"понедельник","вторник","среда","четверг","пятница","суббота","воскресенье"))</f>
        <v/>
      </c>
      <c r="D69" s="19">
        <f>IF(B69="","",WEEKNUM(B69,21))</f>
        <v/>
      </c>
      <c r="E69" s="19">
        <f>IF(B69="","",MONTH(B69))</f>
        <v/>
      </c>
      <c r="F69" s="19">
        <f>IF(B69="","",IF(WEEKDAY(B69,2)&gt;=6,"вых","раб"))</f>
        <v/>
      </c>
      <c r="G69" s="21" t="n"/>
      <c r="H69" s="21" t="n"/>
      <c r="I69" s="21" t="n"/>
      <c r="J69" s="21" t="n"/>
      <c r="K69" s="21" t="n"/>
      <c r="L69" s="21" t="n"/>
      <c r="M69" s="22" t="n"/>
    </row>
    <row r="70">
      <c r="A70" s="19" t="n">
        <v>65</v>
      </c>
      <c r="B70" s="20">
        <f>IF(DATE(Анкета!$C$12,1,1)+64&gt;DATE(Анкета!$C$12,12,31),"",DATE(Анкета!$C$12,1,1)+64)</f>
        <v/>
      </c>
      <c r="C70" s="19">
        <f>IF(B70="","",CHOOSE(WEEKDAY(B70,2),"понедельник","вторник","среда","четверг","пятница","суббота","воскресенье"))</f>
        <v/>
      </c>
      <c r="D70" s="19">
        <f>IF(B70="","",WEEKNUM(B70,21))</f>
        <v/>
      </c>
      <c r="E70" s="19">
        <f>IF(B70="","",MONTH(B70))</f>
        <v/>
      </c>
      <c r="F70" s="19">
        <f>IF(B70="","",IF(WEEKDAY(B70,2)&gt;=6,"вых","раб"))</f>
        <v/>
      </c>
      <c r="G70" s="21" t="n"/>
      <c r="H70" s="21" t="n"/>
      <c r="I70" s="21" t="n"/>
      <c r="J70" s="21" t="n"/>
      <c r="K70" s="21" t="n"/>
      <c r="L70" s="21" t="n"/>
      <c r="M70" s="22" t="n"/>
    </row>
    <row r="71">
      <c r="A71" s="19" t="n">
        <v>66</v>
      </c>
      <c r="B71" s="20">
        <f>IF(DATE(Анкета!$C$12,1,1)+65&gt;DATE(Анкета!$C$12,12,31),"",DATE(Анкета!$C$12,1,1)+65)</f>
        <v/>
      </c>
      <c r="C71" s="19">
        <f>IF(B71="","",CHOOSE(WEEKDAY(B71,2),"понедельник","вторник","среда","четверг","пятница","суббота","воскресенье"))</f>
        <v/>
      </c>
      <c r="D71" s="19">
        <f>IF(B71="","",WEEKNUM(B71,21))</f>
        <v/>
      </c>
      <c r="E71" s="19">
        <f>IF(B71="","",MONTH(B71))</f>
        <v/>
      </c>
      <c r="F71" s="19">
        <f>IF(B71="","",IF(WEEKDAY(B71,2)&gt;=6,"вых","раб"))</f>
        <v/>
      </c>
      <c r="G71" s="21" t="n"/>
      <c r="H71" s="21" t="n"/>
      <c r="I71" s="21" t="n"/>
      <c r="J71" s="21" t="n"/>
      <c r="K71" s="21" t="n"/>
      <c r="L71" s="21" t="n"/>
      <c r="M71" s="22" t="n"/>
    </row>
    <row r="72">
      <c r="A72" s="19" t="n">
        <v>67</v>
      </c>
      <c r="B72" s="20">
        <f>IF(DATE(Анкета!$C$12,1,1)+66&gt;DATE(Анкета!$C$12,12,31),"",DATE(Анкета!$C$12,1,1)+66)</f>
        <v/>
      </c>
      <c r="C72" s="19">
        <f>IF(B72="","",CHOOSE(WEEKDAY(B72,2),"понедельник","вторник","среда","четверг","пятница","суббота","воскресенье"))</f>
        <v/>
      </c>
      <c r="D72" s="19">
        <f>IF(B72="","",WEEKNUM(B72,21))</f>
        <v/>
      </c>
      <c r="E72" s="19">
        <f>IF(B72="","",MONTH(B72))</f>
        <v/>
      </c>
      <c r="F72" s="19">
        <f>IF(B72="","",IF(WEEKDAY(B72,2)&gt;=6,"вых","раб"))</f>
        <v/>
      </c>
      <c r="G72" s="21" t="n"/>
      <c r="H72" s="21" t="n"/>
      <c r="I72" s="21" t="n"/>
      <c r="J72" s="21" t="n"/>
      <c r="K72" s="21" t="n"/>
      <c r="L72" s="21" t="n"/>
      <c r="M72" s="22" t="n"/>
    </row>
    <row r="73">
      <c r="A73" s="19" t="n">
        <v>68</v>
      </c>
      <c r="B73" s="20">
        <f>IF(DATE(Анкета!$C$12,1,1)+67&gt;DATE(Анкета!$C$12,12,31),"",DATE(Анкета!$C$12,1,1)+67)</f>
        <v/>
      </c>
      <c r="C73" s="19">
        <f>IF(B73="","",CHOOSE(WEEKDAY(B73,2),"понедельник","вторник","среда","четверг","пятница","суббота","воскресенье"))</f>
        <v/>
      </c>
      <c r="D73" s="19">
        <f>IF(B73="","",WEEKNUM(B73,21))</f>
        <v/>
      </c>
      <c r="E73" s="19">
        <f>IF(B73="","",MONTH(B73))</f>
        <v/>
      </c>
      <c r="F73" s="19">
        <f>IF(B73="","",IF(WEEKDAY(B73,2)&gt;=6,"вых","раб"))</f>
        <v/>
      </c>
      <c r="G73" s="21" t="n"/>
      <c r="H73" s="21" t="n"/>
      <c r="I73" s="21" t="n"/>
      <c r="J73" s="21" t="n"/>
      <c r="K73" s="21" t="n"/>
      <c r="L73" s="21" t="n"/>
      <c r="M73" s="22" t="n"/>
    </row>
    <row r="74">
      <c r="A74" s="19" t="n">
        <v>69</v>
      </c>
      <c r="B74" s="20">
        <f>IF(DATE(Анкета!$C$12,1,1)+68&gt;DATE(Анкета!$C$12,12,31),"",DATE(Анкета!$C$12,1,1)+68)</f>
        <v/>
      </c>
      <c r="C74" s="19">
        <f>IF(B74="","",CHOOSE(WEEKDAY(B74,2),"понедельник","вторник","среда","четверг","пятница","суббота","воскресенье"))</f>
        <v/>
      </c>
      <c r="D74" s="19">
        <f>IF(B74="","",WEEKNUM(B74,21))</f>
        <v/>
      </c>
      <c r="E74" s="19">
        <f>IF(B74="","",MONTH(B74))</f>
        <v/>
      </c>
      <c r="F74" s="19">
        <f>IF(B74="","",IF(WEEKDAY(B74,2)&gt;=6,"вых","раб"))</f>
        <v/>
      </c>
      <c r="G74" s="21" t="n"/>
      <c r="H74" s="21" t="n"/>
      <c r="I74" s="21" t="n"/>
      <c r="J74" s="21" t="n"/>
      <c r="K74" s="21" t="n"/>
      <c r="L74" s="21" t="n"/>
      <c r="M74" s="22" t="n"/>
    </row>
    <row r="75">
      <c r="A75" s="19" t="n">
        <v>70</v>
      </c>
      <c r="B75" s="20">
        <f>IF(DATE(Анкета!$C$12,1,1)+69&gt;DATE(Анкета!$C$12,12,31),"",DATE(Анкета!$C$12,1,1)+69)</f>
        <v/>
      </c>
      <c r="C75" s="19">
        <f>IF(B75="","",CHOOSE(WEEKDAY(B75,2),"понедельник","вторник","среда","четверг","пятница","суббота","воскресенье"))</f>
        <v/>
      </c>
      <c r="D75" s="19">
        <f>IF(B75="","",WEEKNUM(B75,21))</f>
        <v/>
      </c>
      <c r="E75" s="19">
        <f>IF(B75="","",MONTH(B75))</f>
        <v/>
      </c>
      <c r="F75" s="19">
        <f>IF(B75="","",IF(WEEKDAY(B75,2)&gt;=6,"вых","раб"))</f>
        <v/>
      </c>
      <c r="G75" s="21" t="n"/>
      <c r="H75" s="21" t="n"/>
      <c r="I75" s="21" t="n"/>
      <c r="J75" s="21" t="n"/>
      <c r="K75" s="21" t="n"/>
      <c r="L75" s="21" t="n"/>
      <c r="M75" s="22" t="n"/>
    </row>
    <row r="76">
      <c r="A76" s="19" t="n">
        <v>71</v>
      </c>
      <c r="B76" s="20">
        <f>IF(DATE(Анкета!$C$12,1,1)+70&gt;DATE(Анкета!$C$12,12,31),"",DATE(Анкета!$C$12,1,1)+70)</f>
        <v/>
      </c>
      <c r="C76" s="19">
        <f>IF(B76="","",CHOOSE(WEEKDAY(B76,2),"понедельник","вторник","среда","четверг","пятница","суббота","воскресенье"))</f>
        <v/>
      </c>
      <c r="D76" s="19">
        <f>IF(B76="","",WEEKNUM(B76,21))</f>
        <v/>
      </c>
      <c r="E76" s="19">
        <f>IF(B76="","",MONTH(B76))</f>
        <v/>
      </c>
      <c r="F76" s="19">
        <f>IF(B76="","",IF(WEEKDAY(B76,2)&gt;=6,"вых","раб"))</f>
        <v/>
      </c>
      <c r="G76" s="21" t="n"/>
      <c r="H76" s="21" t="n"/>
      <c r="I76" s="21" t="n"/>
      <c r="J76" s="21" t="n"/>
      <c r="K76" s="21" t="n"/>
      <c r="L76" s="21" t="n"/>
      <c r="M76" s="22" t="n"/>
    </row>
    <row r="77">
      <c r="A77" s="19" t="n">
        <v>72</v>
      </c>
      <c r="B77" s="20">
        <f>IF(DATE(Анкета!$C$12,1,1)+71&gt;DATE(Анкета!$C$12,12,31),"",DATE(Анкета!$C$12,1,1)+71)</f>
        <v/>
      </c>
      <c r="C77" s="19">
        <f>IF(B77="","",CHOOSE(WEEKDAY(B77,2),"понедельник","вторник","среда","четверг","пятница","суббота","воскресенье"))</f>
        <v/>
      </c>
      <c r="D77" s="19">
        <f>IF(B77="","",WEEKNUM(B77,21))</f>
        <v/>
      </c>
      <c r="E77" s="19">
        <f>IF(B77="","",MONTH(B77))</f>
        <v/>
      </c>
      <c r="F77" s="19">
        <f>IF(B77="","",IF(WEEKDAY(B77,2)&gt;=6,"вых","раб"))</f>
        <v/>
      </c>
      <c r="G77" s="21" t="n"/>
      <c r="H77" s="21" t="n"/>
      <c r="I77" s="21" t="n"/>
      <c r="J77" s="21" t="n"/>
      <c r="K77" s="21" t="n"/>
      <c r="L77" s="21" t="n"/>
      <c r="M77" s="22" t="n"/>
    </row>
    <row r="78">
      <c r="A78" s="19" t="n">
        <v>73</v>
      </c>
      <c r="B78" s="20">
        <f>IF(DATE(Анкета!$C$12,1,1)+72&gt;DATE(Анкета!$C$12,12,31),"",DATE(Анкета!$C$12,1,1)+72)</f>
        <v/>
      </c>
      <c r="C78" s="19">
        <f>IF(B78="","",CHOOSE(WEEKDAY(B78,2),"понедельник","вторник","среда","четверг","пятница","суббота","воскресенье"))</f>
        <v/>
      </c>
      <c r="D78" s="19">
        <f>IF(B78="","",WEEKNUM(B78,21))</f>
        <v/>
      </c>
      <c r="E78" s="19">
        <f>IF(B78="","",MONTH(B78))</f>
        <v/>
      </c>
      <c r="F78" s="19">
        <f>IF(B78="","",IF(WEEKDAY(B78,2)&gt;=6,"вых","раб"))</f>
        <v/>
      </c>
      <c r="G78" s="21" t="n"/>
      <c r="H78" s="21" t="n"/>
      <c r="I78" s="21" t="n"/>
      <c r="J78" s="21" t="n"/>
      <c r="K78" s="21" t="n"/>
      <c r="L78" s="21" t="n"/>
      <c r="M78" s="22" t="n"/>
    </row>
    <row r="79">
      <c r="A79" s="19" t="n">
        <v>74</v>
      </c>
      <c r="B79" s="20">
        <f>IF(DATE(Анкета!$C$12,1,1)+73&gt;DATE(Анкета!$C$12,12,31),"",DATE(Анкета!$C$12,1,1)+73)</f>
        <v/>
      </c>
      <c r="C79" s="19">
        <f>IF(B79="","",CHOOSE(WEEKDAY(B79,2),"понедельник","вторник","среда","четверг","пятница","суббота","воскресенье"))</f>
        <v/>
      </c>
      <c r="D79" s="19">
        <f>IF(B79="","",WEEKNUM(B79,21))</f>
        <v/>
      </c>
      <c r="E79" s="19">
        <f>IF(B79="","",MONTH(B79))</f>
        <v/>
      </c>
      <c r="F79" s="19">
        <f>IF(B79="","",IF(WEEKDAY(B79,2)&gt;=6,"вых","раб"))</f>
        <v/>
      </c>
      <c r="G79" s="21" t="n"/>
      <c r="H79" s="21" t="n"/>
      <c r="I79" s="21" t="n"/>
      <c r="J79" s="21" t="n"/>
      <c r="K79" s="21" t="n"/>
      <c r="L79" s="21" t="n"/>
      <c r="M79" s="22" t="n"/>
    </row>
    <row r="80">
      <c r="A80" s="19" t="n">
        <v>75</v>
      </c>
      <c r="B80" s="20">
        <f>IF(DATE(Анкета!$C$12,1,1)+74&gt;DATE(Анкета!$C$12,12,31),"",DATE(Анкета!$C$12,1,1)+74)</f>
        <v/>
      </c>
      <c r="C80" s="19">
        <f>IF(B80="","",CHOOSE(WEEKDAY(B80,2),"понедельник","вторник","среда","четверг","пятница","суббота","воскресенье"))</f>
        <v/>
      </c>
      <c r="D80" s="19">
        <f>IF(B80="","",WEEKNUM(B80,21))</f>
        <v/>
      </c>
      <c r="E80" s="19">
        <f>IF(B80="","",MONTH(B80))</f>
        <v/>
      </c>
      <c r="F80" s="19">
        <f>IF(B80="","",IF(WEEKDAY(B80,2)&gt;=6,"вых","раб"))</f>
        <v/>
      </c>
      <c r="G80" s="21" t="n"/>
      <c r="H80" s="21" t="n"/>
      <c r="I80" s="21" t="n"/>
      <c r="J80" s="21" t="n"/>
      <c r="K80" s="21" t="n"/>
      <c r="L80" s="21" t="n"/>
      <c r="M80" s="22" t="n"/>
    </row>
    <row r="81">
      <c r="A81" s="19" t="n">
        <v>76</v>
      </c>
      <c r="B81" s="20">
        <f>IF(DATE(Анкета!$C$12,1,1)+75&gt;DATE(Анкета!$C$12,12,31),"",DATE(Анкета!$C$12,1,1)+75)</f>
        <v/>
      </c>
      <c r="C81" s="19">
        <f>IF(B81="","",CHOOSE(WEEKDAY(B81,2),"понедельник","вторник","среда","четверг","пятница","суббота","воскресенье"))</f>
        <v/>
      </c>
      <c r="D81" s="19">
        <f>IF(B81="","",WEEKNUM(B81,21))</f>
        <v/>
      </c>
      <c r="E81" s="19">
        <f>IF(B81="","",MONTH(B81))</f>
        <v/>
      </c>
      <c r="F81" s="19">
        <f>IF(B81="","",IF(WEEKDAY(B81,2)&gt;=6,"вых","раб"))</f>
        <v/>
      </c>
      <c r="G81" s="21" t="n"/>
      <c r="H81" s="21" t="n"/>
      <c r="I81" s="21" t="n"/>
      <c r="J81" s="21" t="n"/>
      <c r="K81" s="21" t="n"/>
      <c r="L81" s="21" t="n"/>
      <c r="M81" s="22" t="n"/>
    </row>
    <row r="82">
      <c r="A82" s="19" t="n">
        <v>77</v>
      </c>
      <c r="B82" s="20">
        <f>IF(DATE(Анкета!$C$12,1,1)+76&gt;DATE(Анкета!$C$12,12,31),"",DATE(Анкета!$C$12,1,1)+76)</f>
        <v/>
      </c>
      <c r="C82" s="19">
        <f>IF(B82="","",CHOOSE(WEEKDAY(B82,2),"понедельник","вторник","среда","четверг","пятница","суббота","воскресенье"))</f>
        <v/>
      </c>
      <c r="D82" s="19">
        <f>IF(B82="","",WEEKNUM(B82,21))</f>
        <v/>
      </c>
      <c r="E82" s="19">
        <f>IF(B82="","",MONTH(B82))</f>
        <v/>
      </c>
      <c r="F82" s="19">
        <f>IF(B82="","",IF(WEEKDAY(B82,2)&gt;=6,"вых","раб"))</f>
        <v/>
      </c>
      <c r="G82" s="21" t="n"/>
      <c r="H82" s="21" t="n"/>
      <c r="I82" s="21" t="n"/>
      <c r="J82" s="21" t="n"/>
      <c r="K82" s="21" t="n"/>
      <c r="L82" s="21" t="n"/>
      <c r="M82" s="22" t="n"/>
    </row>
    <row r="83">
      <c r="A83" s="19" t="n">
        <v>78</v>
      </c>
      <c r="B83" s="20">
        <f>IF(DATE(Анкета!$C$12,1,1)+77&gt;DATE(Анкета!$C$12,12,31),"",DATE(Анкета!$C$12,1,1)+77)</f>
        <v/>
      </c>
      <c r="C83" s="19">
        <f>IF(B83="","",CHOOSE(WEEKDAY(B83,2),"понедельник","вторник","среда","четверг","пятница","суббота","воскресенье"))</f>
        <v/>
      </c>
      <c r="D83" s="19">
        <f>IF(B83="","",WEEKNUM(B83,21))</f>
        <v/>
      </c>
      <c r="E83" s="19">
        <f>IF(B83="","",MONTH(B83))</f>
        <v/>
      </c>
      <c r="F83" s="19">
        <f>IF(B83="","",IF(WEEKDAY(B83,2)&gt;=6,"вых","раб"))</f>
        <v/>
      </c>
      <c r="G83" s="21" t="n"/>
      <c r="H83" s="21" t="n"/>
      <c r="I83" s="21" t="n"/>
      <c r="J83" s="21" t="n"/>
      <c r="K83" s="21" t="n"/>
      <c r="L83" s="21" t="n"/>
      <c r="M83" s="22" t="n"/>
    </row>
    <row r="84">
      <c r="A84" s="19" t="n">
        <v>79</v>
      </c>
      <c r="B84" s="20">
        <f>IF(DATE(Анкета!$C$12,1,1)+78&gt;DATE(Анкета!$C$12,12,31),"",DATE(Анкета!$C$12,1,1)+78)</f>
        <v/>
      </c>
      <c r="C84" s="19">
        <f>IF(B84="","",CHOOSE(WEEKDAY(B84,2),"понедельник","вторник","среда","четверг","пятница","суббота","воскресенье"))</f>
        <v/>
      </c>
      <c r="D84" s="19">
        <f>IF(B84="","",WEEKNUM(B84,21))</f>
        <v/>
      </c>
      <c r="E84" s="19">
        <f>IF(B84="","",MONTH(B84))</f>
        <v/>
      </c>
      <c r="F84" s="19">
        <f>IF(B84="","",IF(WEEKDAY(B84,2)&gt;=6,"вых","раб"))</f>
        <v/>
      </c>
      <c r="G84" s="21" t="n"/>
      <c r="H84" s="21" t="n"/>
      <c r="I84" s="21" t="n"/>
      <c r="J84" s="21" t="n"/>
      <c r="K84" s="21" t="n"/>
      <c r="L84" s="21" t="n"/>
      <c r="M84" s="22" t="n"/>
    </row>
    <row r="85">
      <c r="A85" s="19" t="n">
        <v>80</v>
      </c>
      <c r="B85" s="20">
        <f>IF(DATE(Анкета!$C$12,1,1)+79&gt;DATE(Анкета!$C$12,12,31),"",DATE(Анкета!$C$12,1,1)+79)</f>
        <v/>
      </c>
      <c r="C85" s="19">
        <f>IF(B85="","",CHOOSE(WEEKDAY(B85,2),"понедельник","вторник","среда","четверг","пятница","суббота","воскресенье"))</f>
        <v/>
      </c>
      <c r="D85" s="19">
        <f>IF(B85="","",WEEKNUM(B85,21))</f>
        <v/>
      </c>
      <c r="E85" s="19">
        <f>IF(B85="","",MONTH(B85))</f>
        <v/>
      </c>
      <c r="F85" s="19">
        <f>IF(B85="","",IF(WEEKDAY(B85,2)&gt;=6,"вых","раб"))</f>
        <v/>
      </c>
      <c r="G85" s="21" t="n"/>
      <c r="H85" s="21" t="n"/>
      <c r="I85" s="21" t="n"/>
      <c r="J85" s="21" t="n"/>
      <c r="K85" s="21" t="n"/>
      <c r="L85" s="21" t="n"/>
      <c r="M85" s="22" t="n"/>
    </row>
    <row r="86">
      <c r="A86" s="19" t="n">
        <v>81</v>
      </c>
      <c r="B86" s="20">
        <f>IF(DATE(Анкета!$C$12,1,1)+80&gt;DATE(Анкета!$C$12,12,31),"",DATE(Анкета!$C$12,1,1)+80)</f>
        <v/>
      </c>
      <c r="C86" s="19">
        <f>IF(B86="","",CHOOSE(WEEKDAY(B86,2),"понедельник","вторник","среда","четверг","пятница","суббота","воскресенье"))</f>
        <v/>
      </c>
      <c r="D86" s="19">
        <f>IF(B86="","",WEEKNUM(B86,21))</f>
        <v/>
      </c>
      <c r="E86" s="19">
        <f>IF(B86="","",MONTH(B86))</f>
        <v/>
      </c>
      <c r="F86" s="19">
        <f>IF(B86="","",IF(WEEKDAY(B86,2)&gt;=6,"вых","раб"))</f>
        <v/>
      </c>
      <c r="G86" s="21" t="n"/>
      <c r="H86" s="21" t="n"/>
      <c r="I86" s="21" t="n"/>
      <c r="J86" s="21" t="n"/>
      <c r="K86" s="21" t="n"/>
      <c r="L86" s="21" t="n"/>
      <c r="M86" s="22" t="n"/>
    </row>
    <row r="87">
      <c r="A87" s="19" t="n">
        <v>82</v>
      </c>
      <c r="B87" s="20">
        <f>IF(DATE(Анкета!$C$12,1,1)+81&gt;DATE(Анкета!$C$12,12,31),"",DATE(Анкета!$C$12,1,1)+81)</f>
        <v/>
      </c>
      <c r="C87" s="19">
        <f>IF(B87="","",CHOOSE(WEEKDAY(B87,2),"понедельник","вторник","среда","четверг","пятница","суббота","воскресенье"))</f>
        <v/>
      </c>
      <c r="D87" s="19">
        <f>IF(B87="","",WEEKNUM(B87,21))</f>
        <v/>
      </c>
      <c r="E87" s="19">
        <f>IF(B87="","",MONTH(B87))</f>
        <v/>
      </c>
      <c r="F87" s="19">
        <f>IF(B87="","",IF(WEEKDAY(B87,2)&gt;=6,"вых","раб"))</f>
        <v/>
      </c>
      <c r="G87" s="21" t="n"/>
      <c r="H87" s="21" t="n"/>
      <c r="I87" s="21" t="n"/>
      <c r="J87" s="21" t="n"/>
      <c r="K87" s="21" t="n"/>
      <c r="L87" s="21" t="n"/>
      <c r="M87" s="22" t="n"/>
    </row>
    <row r="88">
      <c r="A88" s="19" t="n">
        <v>83</v>
      </c>
      <c r="B88" s="20">
        <f>IF(DATE(Анкета!$C$12,1,1)+82&gt;DATE(Анкета!$C$12,12,31),"",DATE(Анкета!$C$12,1,1)+82)</f>
        <v/>
      </c>
      <c r="C88" s="19">
        <f>IF(B88="","",CHOOSE(WEEKDAY(B88,2),"понедельник","вторник","среда","четверг","пятница","суббота","воскресенье"))</f>
        <v/>
      </c>
      <c r="D88" s="19">
        <f>IF(B88="","",WEEKNUM(B88,21))</f>
        <v/>
      </c>
      <c r="E88" s="19">
        <f>IF(B88="","",MONTH(B88))</f>
        <v/>
      </c>
      <c r="F88" s="19">
        <f>IF(B88="","",IF(WEEKDAY(B88,2)&gt;=6,"вых","раб"))</f>
        <v/>
      </c>
      <c r="G88" s="21" t="n"/>
      <c r="H88" s="21" t="n"/>
      <c r="I88" s="21" t="n"/>
      <c r="J88" s="21" t="n"/>
      <c r="K88" s="21" t="n"/>
      <c r="L88" s="21" t="n"/>
      <c r="M88" s="22" t="n"/>
    </row>
    <row r="89">
      <c r="A89" s="19" t="n">
        <v>84</v>
      </c>
      <c r="B89" s="20">
        <f>IF(DATE(Анкета!$C$12,1,1)+83&gt;DATE(Анкета!$C$12,12,31),"",DATE(Анкета!$C$12,1,1)+83)</f>
        <v/>
      </c>
      <c r="C89" s="19">
        <f>IF(B89="","",CHOOSE(WEEKDAY(B89,2),"понедельник","вторник","среда","четверг","пятница","суббота","воскресенье"))</f>
        <v/>
      </c>
      <c r="D89" s="19">
        <f>IF(B89="","",WEEKNUM(B89,21))</f>
        <v/>
      </c>
      <c r="E89" s="19">
        <f>IF(B89="","",MONTH(B89))</f>
        <v/>
      </c>
      <c r="F89" s="19">
        <f>IF(B89="","",IF(WEEKDAY(B89,2)&gt;=6,"вых","раб"))</f>
        <v/>
      </c>
      <c r="G89" s="21" t="n"/>
      <c r="H89" s="21" t="n"/>
      <c r="I89" s="21" t="n"/>
      <c r="J89" s="21" t="n"/>
      <c r="K89" s="21" t="n"/>
      <c r="L89" s="21" t="n"/>
      <c r="M89" s="22" t="n"/>
    </row>
    <row r="90">
      <c r="A90" s="19" t="n">
        <v>85</v>
      </c>
      <c r="B90" s="20">
        <f>IF(DATE(Анкета!$C$12,1,1)+84&gt;DATE(Анкета!$C$12,12,31),"",DATE(Анкета!$C$12,1,1)+84)</f>
        <v/>
      </c>
      <c r="C90" s="19">
        <f>IF(B90="","",CHOOSE(WEEKDAY(B90,2),"понедельник","вторник","среда","четверг","пятница","суббота","воскресенье"))</f>
        <v/>
      </c>
      <c r="D90" s="19">
        <f>IF(B90="","",WEEKNUM(B90,21))</f>
        <v/>
      </c>
      <c r="E90" s="19">
        <f>IF(B90="","",MONTH(B90))</f>
        <v/>
      </c>
      <c r="F90" s="19">
        <f>IF(B90="","",IF(WEEKDAY(B90,2)&gt;=6,"вых","раб"))</f>
        <v/>
      </c>
      <c r="G90" s="21" t="n"/>
      <c r="H90" s="21" t="n"/>
      <c r="I90" s="21" t="n"/>
      <c r="J90" s="21" t="n"/>
      <c r="K90" s="21" t="n"/>
      <c r="L90" s="21" t="n"/>
      <c r="M90" s="22" t="n"/>
    </row>
    <row r="91">
      <c r="A91" s="19" t="n">
        <v>86</v>
      </c>
      <c r="B91" s="20">
        <f>IF(DATE(Анкета!$C$12,1,1)+85&gt;DATE(Анкета!$C$12,12,31),"",DATE(Анкета!$C$12,1,1)+85)</f>
        <v/>
      </c>
      <c r="C91" s="19">
        <f>IF(B91="","",CHOOSE(WEEKDAY(B91,2),"понедельник","вторник","среда","четверг","пятница","суббота","воскресенье"))</f>
        <v/>
      </c>
      <c r="D91" s="19">
        <f>IF(B91="","",WEEKNUM(B91,21))</f>
        <v/>
      </c>
      <c r="E91" s="19">
        <f>IF(B91="","",MONTH(B91))</f>
        <v/>
      </c>
      <c r="F91" s="19">
        <f>IF(B91="","",IF(WEEKDAY(B91,2)&gt;=6,"вых","раб"))</f>
        <v/>
      </c>
      <c r="G91" s="21" t="n"/>
      <c r="H91" s="21" t="n"/>
      <c r="I91" s="21" t="n"/>
      <c r="J91" s="21" t="n"/>
      <c r="K91" s="21" t="n"/>
      <c r="L91" s="21" t="n"/>
      <c r="M91" s="22" t="n"/>
    </row>
    <row r="92">
      <c r="A92" s="19" t="n">
        <v>87</v>
      </c>
      <c r="B92" s="20">
        <f>IF(DATE(Анкета!$C$12,1,1)+86&gt;DATE(Анкета!$C$12,12,31),"",DATE(Анкета!$C$12,1,1)+86)</f>
        <v/>
      </c>
      <c r="C92" s="19">
        <f>IF(B92="","",CHOOSE(WEEKDAY(B92,2),"понедельник","вторник","среда","четверг","пятница","суббота","воскресенье"))</f>
        <v/>
      </c>
      <c r="D92" s="19">
        <f>IF(B92="","",WEEKNUM(B92,21))</f>
        <v/>
      </c>
      <c r="E92" s="19">
        <f>IF(B92="","",MONTH(B92))</f>
        <v/>
      </c>
      <c r="F92" s="19">
        <f>IF(B92="","",IF(WEEKDAY(B92,2)&gt;=6,"вых","раб"))</f>
        <v/>
      </c>
      <c r="G92" s="21" t="n"/>
      <c r="H92" s="21" t="n"/>
      <c r="I92" s="21" t="n"/>
      <c r="J92" s="21" t="n"/>
      <c r="K92" s="21" t="n"/>
      <c r="L92" s="21" t="n"/>
      <c r="M92" s="22" t="n"/>
    </row>
    <row r="93">
      <c r="A93" s="19" t="n">
        <v>88</v>
      </c>
      <c r="B93" s="20">
        <f>IF(DATE(Анкета!$C$12,1,1)+87&gt;DATE(Анкета!$C$12,12,31),"",DATE(Анкета!$C$12,1,1)+87)</f>
        <v/>
      </c>
      <c r="C93" s="19">
        <f>IF(B93="","",CHOOSE(WEEKDAY(B93,2),"понедельник","вторник","среда","четверг","пятница","суббота","воскресенье"))</f>
        <v/>
      </c>
      <c r="D93" s="19">
        <f>IF(B93="","",WEEKNUM(B93,21))</f>
        <v/>
      </c>
      <c r="E93" s="19">
        <f>IF(B93="","",MONTH(B93))</f>
        <v/>
      </c>
      <c r="F93" s="19">
        <f>IF(B93="","",IF(WEEKDAY(B93,2)&gt;=6,"вых","раб"))</f>
        <v/>
      </c>
      <c r="G93" s="21" t="n"/>
      <c r="H93" s="21" t="n"/>
      <c r="I93" s="21" t="n"/>
      <c r="J93" s="21" t="n"/>
      <c r="K93" s="21" t="n"/>
      <c r="L93" s="21" t="n"/>
      <c r="M93" s="22" t="n"/>
    </row>
    <row r="94">
      <c r="A94" s="19" t="n">
        <v>89</v>
      </c>
      <c r="B94" s="20">
        <f>IF(DATE(Анкета!$C$12,1,1)+88&gt;DATE(Анкета!$C$12,12,31),"",DATE(Анкета!$C$12,1,1)+88)</f>
        <v/>
      </c>
      <c r="C94" s="19">
        <f>IF(B94="","",CHOOSE(WEEKDAY(B94,2),"понедельник","вторник","среда","четверг","пятница","суббота","воскресенье"))</f>
        <v/>
      </c>
      <c r="D94" s="19">
        <f>IF(B94="","",WEEKNUM(B94,21))</f>
        <v/>
      </c>
      <c r="E94" s="19">
        <f>IF(B94="","",MONTH(B94))</f>
        <v/>
      </c>
      <c r="F94" s="19">
        <f>IF(B94="","",IF(WEEKDAY(B94,2)&gt;=6,"вых","раб"))</f>
        <v/>
      </c>
      <c r="G94" s="21" t="n"/>
      <c r="H94" s="21" t="n"/>
      <c r="I94" s="21" t="n"/>
      <c r="J94" s="21" t="n"/>
      <c r="K94" s="21" t="n"/>
      <c r="L94" s="21" t="n"/>
      <c r="M94" s="22" t="n"/>
    </row>
    <row r="95">
      <c r="A95" s="19" t="n">
        <v>90</v>
      </c>
      <c r="B95" s="20">
        <f>IF(DATE(Анкета!$C$12,1,1)+89&gt;DATE(Анкета!$C$12,12,31),"",DATE(Анкета!$C$12,1,1)+89)</f>
        <v/>
      </c>
      <c r="C95" s="19">
        <f>IF(B95="","",CHOOSE(WEEKDAY(B95,2),"понедельник","вторник","среда","четверг","пятница","суббота","воскресенье"))</f>
        <v/>
      </c>
      <c r="D95" s="19">
        <f>IF(B95="","",WEEKNUM(B95,21))</f>
        <v/>
      </c>
      <c r="E95" s="19">
        <f>IF(B95="","",MONTH(B95))</f>
        <v/>
      </c>
      <c r="F95" s="19">
        <f>IF(B95="","",IF(WEEKDAY(B95,2)&gt;=6,"вых","раб"))</f>
        <v/>
      </c>
      <c r="G95" s="21" t="n"/>
      <c r="H95" s="21" t="n"/>
      <c r="I95" s="21" t="n"/>
      <c r="J95" s="21" t="n"/>
      <c r="K95" s="21" t="n"/>
      <c r="L95" s="21" t="n"/>
      <c r="M95" s="22" t="n"/>
    </row>
    <row r="96">
      <c r="A96" s="19" t="n">
        <v>91</v>
      </c>
      <c r="B96" s="20">
        <f>IF(DATE(Анкета!$C$12,1,1)+90&gt;DATE(Анкета!$C$12,12,31),"",DATE(Анкета!$C$12,1,1)+90)</f>
        <v/>
      </c>
      <c r="C96" s="19">
        <f>IF(B96="","",CHOOSE(WEEKDAY(B96,2),"понедельник","вторник","среда","четверг","пятница","суббота","воскресенье"))</f>
        <v/>
      </c>
      <c r="D96" s="19">
        <f>IF(B96="","",WEEKNUM(B96,21))</f>
        <v/>
      </c>
      <c r="E96" s="19">
        <f>IF(B96="","",MONTH(B96))</f>
        <v/>
      </c>
      <c r="F96" s="19">
        <f>IF(B96="","",IF(WEEKDAY(B96,2)&gt;=6,"вых","раб"))</f>
        <v/>
      </c>
      <c r="G96" s="21" t="n"/>
      <c r="H96" s="21" t="n"/>
      <c r="I96" s="21" t="n"/>
      <c r="J96" s="21" t="n"/>
      <c r="K96" s="21" t="n"/>
      <c r="L96" s="21" t="n"/>
      <c r="M96" s="22" t="n"/>
    </row>
    <row r="97">
      <c r="A97" s="19" t="n">
        <v>92</v>
      </c>
      <c r="B97" s="20">
        <f>IF(DATE(Анкета!$C$12,1,1)+91&gt;DATE(Анкета!$C$12,12,31),"",DATE(Анкета!$C$12,1,1)+91)</f>
        <v/>
      </c>
      <c r="C97" s="19">
        <f>IF(B97="","",CHOOSE(WEEKDAY(B97,2),"понедельник","вторник","среда","четверг","пятница","суббота","воскресенье"))</f>
        <v/>
      </c>
      <c r="D97" s="19">
        <f>IF(B97="","",WEEKNUM(B97,21))</f>
        <v/>
      </c>
      <c r="E97" s="19">
        <f>IF(B97="","",MONTH(B97))</f>
        <v/>
      </c>
      <c r="F97" s="19">
        <f>IF(B97="","",IF(WEEKDAY(B97,2)&gt;=6,"вых","раб"))</f>
        <v/>
      </c>
      <c r="G97" s="21" t="n"/>
      <c r="H97" s="21" t="n"/>
      <c r="I97" s="21" t="n"/>
      <c r="J97" s="21" t="n"/>
      <c r="K97" s="21" t="n"/>
      <c r="L97" s="21" t="n"/>
      <c r="M97" s="22" t="n"/>
    </row>
    <row r="98">
      <c r="A98" s="19" t="n">
        <v>93</v>
      </c>
      <c r="B98" s="20">
        <f>IF(DATE(Анкета!$C$12,1,1)+92&gt;DATE(Анкета!$C$12,12,31),"",DATE(Анкета!$C$12,1,1)+92)</f>
        <v/>
      </c>
      <c r="C98" s="19">
        <f>IF(B98="","",CHOOSE(WEEKDAY(B98,2),"понедельник","вторник","среда","четверг","пятница","суббота","воскресенье"))</f>
        <v/>
      </c>
      <c r="D98" s="19">
        <f>IF(B98="","",WEEKNUM(B98,21))</f>
        <v/>
      </c>
      <c r="E98" s="19">
        <f>IF(B98="","",MONTH(B98))</f>
        <v/>
      </c>
      <c r="F98" s="19">
        <f>IF(B98="","",IF(WEEKDAY(B98,2)&gt;=6,"вых","раб"))</f>
        <v/>
      </c>
      <c r="G98" s="21" t="n"/>
      <c r="H98" s="21" t="n"/>
      <c r="I98" s="21" t="n"/>
      <c r="J98" s="21" t="n"/>
      <c r="K98" s="21" t="n"/>
      <c r="L98" s="21" t="n"/>
      <c r="M98" s="22" t="n"/>
    </row>
    <row r="99">
      <c r="A99" s="19" t="n">
        <v>94</v>
      </c>
      <c r="B99" s="20">
        <f>IF(DATE(Анкета!$C$12,1,1)+93&gt;DATE(Анкета!$C$12,12,31),"",DATE(Анкета!$C$12,1,1)+93)</f>
        <v/>
      </c>
      <c r="C99" s="19">
        <f>IF(B99="","",CHOOSE(WEEKDAY(B99,2),"понедельник","вторник","среда","четверг","пятница","суббота","воскресенье"))</f>
        <v/>
      </c>
      <c r="D99" s="19">
        <f>IF(B99="","",WEEKNUM(B99,21))</f>
        <v/>
      </c>
      <c r="E99" s="19">
        <f>IF(B99="","",MONTH(B99))</f>
        <v/>
      </c>
      <c r="F99" s="19">
        <f>IF(B99="","",IF(WEEKDAY(B99,2)&gt;=6,"вых","раб"))</f>
        <v/>
      </c>
      <c r="G99" s="21" t="n"/>
      <c r="H99" s="21" t="n"/>
      <c r="I99" s="21" t="n"/>
      <c r="J99" s="21" t="n"/>
      <c r="K99" s="21" t="n"/>
      <c r="L99" s="21" t="n"/>
      <c r="M99" s="22" t="n"/>
    </row>
    <row r="100">
      <c r="A100" s="19" t="n">
        <v>95</v>
      </c>
      <c r="B100" s="20">
        <f>IF(DATE(Анкета!$C$12,1,1)+94&gt;DATE(Анкета!$C$12,12,31),"",DATE(Анкета!$C$12,1,1)+94)</f>
        <v/>
      </c>
      <c r="C100" s="19">
        <f>IF(B100="","",CHOOSE(WEEKDAY(B100,2),"понедельник","вторник","среда","четверг","пятница","суббота","воскресенье"))</f>
        <v/>
      </c>
      <c r="D100" s="19">
        <f>IF(B100="","",WEEKNUM(B100,21))</f>
        <v/>
      </c>
      <c r="E100" s="19">
        <f>IF(B100="","",MONTH(B100))</f>
        <v/>
      </c>
      <c r="F100" s="19">
        <f>IF(B100="","",IF(WEEKDAY(B100,2)&gt;=6,"вых","раб"))</f>
        <v/>
      </c>
      <c r="G100" s="21" t="n"/>
      <c r="H100" s="21" t="n"/>
      <c r="I100" s="21" t="n"/>
      <c r="J100" s="21" t="n"/>
      <c r="K100" s="21" t="n"/>
      <c r="L100" s="21" t="n"/>
      <c r="M100" s="22" t="n"/>
    </row>
    <row r="101">
      <c r="A101" s="19" t="n">
        <v>96</v>
      </c>
      <c r="B101" s="20">
        <f>IF(DATE(Анкета!$C$12,1,1)+95&gt;DATE(Анкета!$C$12,12,31),"",DATE(Анкета!$C$12,1,1)+95)</f>
        <v/>
      </c>
      <c r="C101" s="19">
        <f>IF(B101="","",CHOOSE(WEEKDAY(B101,2),"понедельник","вторник","среда","четверг","пятница","суббота","воскресенье"))</f>
        <v/>
      </c>
      <c r="D101" s="19">
        <f>IF(B101="","",WEEKNUM(B101,21))</f>
        <v/>
      </c>
      <c r="E101" s="19">
        <f>IF(B101="","",MONTH(B101))</f>
        <v/>
      </c>
      <c r="F101" s="19">
        <f>IF(B101="","",IF(WEEKDAY(B101,2)&gt;=6,"вых","раб"))</f>
        <v/>
      </c>
      <c r="G101" s="21" t="n"/>
      <c r="H101" s="21" t="n"/>
      <c r="I101" s="21" t="n"/>
      <c r="J101" s="21" t="n"/>
      <c r="K101" s="21" t="n"/>
      <c r="L101" s="21" t="n"/>
      <c r="M101" s="22" t="n"/>
    </row>
    <row r="102">
      <c r="A102" s="19" t="n">
        <v>97</v>
      </c>
      <c r="B102" s="20">
        <f>IF(DATE(Анкета!$C$12,1,1)+96&gt;DATE(Анкета!$C$12,12,31),"",DATE(Анкета!$C$12,1,1)+96)</f>
        <v/>
      </c>
      <c r="C102" s="19">
        <f>IF(B102="","",CHOOSE(WEEKDAY(B102,2),"понедельник","вторник","среда","четверг","пятница","суббота","воскресенье"))</f>
        <v/>
      </c>
      <c r="D102" s="19">
        <f>IF(B102="","",WEEKNUM(B102,21))</f>
        <v/>
      </c>
      <c r="E102" s="19">
        <f>IF(B102="","",MONTH(B102))</f>
        <v/>
      </c>
      <c r="F102" s="19">
        <f>IF(B102="","",IF(WEEKDAY(B102,2)&gt;=6,"вых","раб"))</f>
        <v/>
      </c>
      <c r="G102" s="21" t="n"/>
      <c r="H102" s="21" t="n"/>
      <c r="I102" s="21" t="n"/>
      <c r="J102" s="21" t="n"/>
      <c r="K102" s="21" t="n"/>
      <c r="L102" s="21" t="n"/>
      <c r="M102" s="22" t="n"/>
    </row>
    <row r="103">
      <c r="A103" s="19" t="n">
        <v>98</v>
      </c>
      <c r="B103" s="20">
        <f>IF(DATE(Анкета!$C$12,1,1)+97&gt;DATE(Анкета!$C$12,12,31),"",DATE(Анкета!$C$12,1,1)+97)</f>
        <v/>
      </c>
      <c r="C103" s="19">
        <f>IF(B103="","",CHOOSE(WEEKDAY(B103,2),"понедельник","вторник","среда","четверг","пятница","суббота","воскресенье"))</f>
        <v/>
      </c>
      <c r="D103" s="19">
        <f>IF(B103="","",WEEKNUM(B103,21))</f>
        <v/>
      </c>
      <c r="E103" s="19">
        <f>IF(B103="","",MONTH(B103))</f>
        <v/>
      </c>
      <c r="F103" s="19">
        <f>IF(B103="","",IF(WEEKDAY(B103,2)&gt;=6,"вых","раб"))</f>
        <v/>
      </c>
      <c r="G103" s="21" t="n"/>
      <c r="H103" s="21" t="n"/>
      <c r="I103" s="21" t="n"/>
      <c r="J103" s="21" t="n"/>
      <c r="K103" s="21" t="n"/>
      <c r="L103" s="21" t="n"/>
      <c r="M103" s="22" t="n"/>
    </row>
    <row r="104">
      <c r="A104" s="19" t="n">
        <v>99</v>
      </c>
      <c r="B104" s="20">
        <f>IF(DATE(Анкета!$C$12,1,1)+98&gt;DATE(Анкета!$C$12,12,31),"",DATE(Анкета!$C$12,1,1)+98)</f>
        <v/>
      </c>
      <c r="C104" s="19">
        <f>IF(B104="","",CHOOSE(WEEKDAY(B104,2),"понедельник","вторник","среда","четверг","пятница","суббота","воскресенье"))</f>
        <v/>
      </c>
      <c r="D104" s="19">
        <f>IF(B104="","",WEEKNUM(B104,21))</f>
        <v/>
      </c>
      <c r="E104" s="19">
        <f>IF(B104="","",MONTH(B104))</f>
        <v/>
      </c>
      <c r="F104" s="19">
        <f>IF(B104="","",IF(WEEKDAY(B104,2)&gt;=6,"вых","раб"))</f>
        <v/>
      </c>
      <c r="G104" s="21" t="n"/>
      <c r="H104" s="21" t="n"/>
      <c r="I104" s="21" t="n"/>
      <c r="J104" s="21" t="n"/>
      <c r="K104" s="21" t="n"/>
      <c r="L104" s="21" t="n"/>
      <c r="M104" s="22" t="n"/>
    </row>
    <row r="105">
      <c r="A105" s="19" t="n">
        <v>100</v>
      </c>
      <c r="B105" s="20">
        <f>IF(DATE(Анкета!$C$12,1,1)+99&gt;DATE(Анкета!$C$12,12,31),"",DATE(Анкета!$C$12,1,1)+99)</f>
        <v/>
      </c>
      <c r="C105" s="19">
        <f>IF(B105="","",CHOOSE(WEEKDAY(B105,2),"понедельник","вторник","среда","четверг","пятница","суббота","воскресенье"))</f>
        <v/>
      </c>
      <c r="D105" s="19">
        <f>IF(B105="","",WEEKNUM(B105,21))</f>
        <v/>
      </c>
      <c r="E105" s="19">
        <f>IF(B105="","",MONTH(B105))</f>
        <v/>
      </c>
      <c r="F105" s="19">
        <f>IF(B105="","",IF(WEEKDAY(B105,2)&gt;=6,"вых","раб"))</f>
        <v/>
      </c>
      <c r="G105" s="21" t="n"/>
      <c r="H105" s="21" t="n"/>
      <c r="I105" s="21" t="n"/>
      <c r="J105" s="21" t="n"/>
      <c r="K105" s="21" t="n"/>
      <c r="L105" s="21" t="n"/>
      <c r="M105" s="22" t="n"/>
    </row>
    <row r="106">
      <c r="A106" s="19" t="n">
        <v>101</v>
      </c>
      <c r="B106" s="20">
        <f>IF(DATE(Анкета!$C$12,1,1)+100&gt;DATE(Анкета!$C$12,12,31),"",DATE(Анкета!$C$12,1,1)+100)</f>
        <v/>
      </c>
      <c r="C106" s="19">
        <f>IF(B106="","",CHOOSE(WEEKDAY(B106,2),"понедельник","вторник","среда","четверг","пятница","суббота","воскресенье"))</f>
        <v/>
      </c>
      <c r="D106" s="19">
        <f>IF(B106="","",WEEKNUM(B106,21))</f>
        <v/>
      </c>
      <c r="E106" s="19">
        <f>IF(B106="","",MONTH(B106))</f>
        <v/>
      </c>
      <c r="F106" s="19">
        <f>IF(B106="","",IF(WEEKDAY(B106,2)&gt;=6,"вых","раб"))</f>
        <v/>
      </c>
      <c r="G106" s="21" t="n"/>
      <c r="H106" s="21" t="n"/>
      <c r="I106" s="21" t="n"/>
      <c r="J106" s="21" t="n"/>
      <c r="K106" s="21" t="n"/>
      <c r="L106" s="21" t="n"/>
      <c r="M106" s="22" t="n"/>
    </row>
    <row r="107">
      <c r="A107" s="19" t="n">
        <v>102</v>
      </c>
      <c r="B107" s="20">
        <f>IF(DATE(Анкета!$C$12,1,1)+101&gt;DATE(Анкета!$C$12,12,31),"",DATE(Анкета!$C$12,1,1)+101)</f>
        <v/>
      </c>
      <c r="C107" s="19">
        <f>IF(B107="","",CHOOSE(WEEKDAY(B107,2),"понедельник","вторник","среда","четверг","пятница","суббота","воскресенье"))</f>
        <v/>
      </c>
      <c r="D107" s="19">
        <f>IF(B107="","",WEEKNUM(B107,21))</f>
        <v/>
      </c>
      <c r="E107" s="19">
        <f>IF(B107="","",MONTH(B107))</f>
        <v/>
      </c>
      <c r="F107" s="19">
        <f>IF(B107="","",IF(WEEKDAY(B107,2)&gt;=6,"вых","раб"))</f>
        <v/>
      </c>
      <c r="G107" s="21" t="n"/>
      <c r="H107" s="21" t="n"/>
      <c r="I107" s="21" t="n"/>
      <c r="J107" s="21" t="n"/>
      <c r="K107" s="21" t="n"/>
      <c r="L107" s="21" t="n"/>
      <c r="M107" s="22" t="n"/>
    </row>
    <row r="108">
      <c r="A108" s="19" t="n">
        <v>103</v>
      </c>
      <c r="B108" s="20">
        <f>IF(DATE(Анкета!$C$12,1,1)+102&gt;DATE(Анкета!$C$12,12,31),"",DATE(Анкета!$C$12,1,1)+102)</f>
        <v/>
      </c>
      <c r="C108" s="19">
        <f>IF(B108="","",CHOOSE(WEEKDAY(B108,2),"понедельник","вторник","среда","четверг","пятница","суббота","воскресенье"))</f>
        <v/>
      </c>
      <c r="D108" s="19">
        <f>IF(B108="","",WEEKNUM(B108,21))</f>
        <v/>
      </c>
      <c r="E108" s="19">
        <f>IF(B108="","",MONTH(B108))</f>
        <v/>
      </c>
      <c r="F108" s="19">
        <f>IF(B108="","",IF(WEEKDAY(B108,2)&gt;=6,"вых","раб"))</f>
        <v/>
      </c>
      <c r="G108" s="21" t="n"/>
      <c r="H108" s="21" t="n"/>
      <c r="I108" s="21" t="n"/>
      <c r="J108" s="21" t="n"/>
      <c r="K108" s="21" t="n"/>
      <c r="L108" s="21" t="n"/>
      <c r="M108" s="22" t="n"/>
    </row>
    <row r="109">
      <c r="A109" s="19" t="n">
        <v>104</v>
      </c>
      <c r="B109" s="20">
        <f>IF(DATE(Анкета!$C$12,1,1)+103&gt;DATE(Анкета!$C$12,12,31),"",DATE(Анкета!$C$12,1,1)+103)</f>
        <v/>
      </c>
      <c r="C109" s="19">
        <f>IF(B109="","",CHOOSE(WEEKDAY(B109,2),"понедельник","вторник","среда","четверг","пятница","суббота","воскресенье"))</f>
        <v/>
      </c>
      <c r="D109" s="19">
        <f>IF(B109="","",WEEKNUM(B109,21))</f>
        <v/>
      </c>
      <c r="E109" s="19">
        <f>IF(B109="","",MONTH(B109))</f>
        <v/>
      </c>
      <c r="F109" s="19">
        <f>IF(B109="","",IF(WEEKDAY(B109,2)&gt;=6,"вых","раб"))</f>
        <v/>
      </c>
      <c r="G109" s="21" t="n"/>
      <c r="H109" s="21" t="n"/>
      <c r="I109" s="21" t="n"/>
      <c r="J109" s="21" t="n"/>
      <c r="K109" s="21" t="n"/>
      <c r="L109" s="21" t="n"/>
      <c r="M109" s="22" t="n"/>
    </row>
    <row r="110">
      <c r="A110" s="19" t="n">
        <v>105</v>
      </c>
      <c r="B110" s="20">
        <f>IF(DATE(Анкета!$C$12,1,1)+104&gt;DATE(Анкета!$C$12,12,31),"",DATE(Анкета!$C$12,1,1)+104)</f>
        <v/>
      </c>
      <c r="C110" s="19">
        <f>IF(B110="","",CHOOSE(WEEKDAY(B110,2),"понедельник","вторник","среда","четверг","пятница","суббота","воскресенье"))</f>
        <v/>
      </c>
      <c r="D110" s="19">
        <f>IF(B110="","",WEEKNUM(B110,21))</f>
        <v/>
      </c>
      <c r="E110" s="19">
        <f>IF(B110="","",MONTH(B110))</f>
        <v/>
      </c>
      <c r="F110" s="19">
        <f>IF(B110="","",IF(WEEKDAY(B110,2)&gt;=6,"вых","раб"))</f>
        <v/>
      </c>
      <c r="G110" s="21" t="n"/>
      <c r="H110" s="21" t="n"/>
      <c r="I110" s="21" t="n"/>
      <c r="J110" s="21" t="n"/>
      <c r="K110" s="21" t="n"/>
      <c r="L110" s="21" t="n"/>
      <c r="M110" s="22" t="n"/>
    </row>
    <row r="111">
      <c r="A111" s="19" t="n">
        <v>106</v>
      </c>
      <c r="B111" s="20">
        <f>IF(DATE(Анкета!$C$12,1,1)+105&gt;DATE(Анкета!$C$12,12,31),"",DATE(Анкета!$C$12,1,1)+105)</f>
        <v/>
      </c>
      <c r="C111" s="19">
        <f>IF(B111="","",CHOOSE(WEEKDAY(B111,2),"понедельник","вторник","среда","четверг","пятница","суббота","воскресенье"))</f>
        <v/>
      </c>
      <c r="D111" s="19">
        <f>IF(B111="","",WEEKNUM(B111,21))</f>
        <v/>
      </c>
      <c r="E111" s="19">
        <f>IF(B111="","",MONTH(B111))</f>
        <v/>
      </c>
      <c r="F111" s="19">
        <f>IF(B111="","",IF(WEEKDAY(B111,2)&gt;=6,"вых","раб"))</f>
        <v/>
      </c>
      <c r="G111" s="21" t="n"/>
      <c r="H111" s="21" t="n"/>
      <c r="I111" s="21" t="n"/>
      <c r="J111" s="21" t="n"/>
      <c r="K111" s="21" t="n"/>
      <c r="L111" s="21" t="n"/>
      <c r="M111" s="22" t="n"/>
    </row>
    <row r="112">
      <c r="A112" s="19" t="n">
        <v>107</v>
      </c>
      <c r="B112" s="20">
        <f>IF(DATE(Анкета!$C$12,1,1)+106&gt;DATE(Анкета!$C$12,12,31),"",DATE(Анкета!$C$12,1,1)+106)</f>
        <v/>
      </c>
      <c r="C112" s="19">
        <f>IF(B112="","",CHOOSE(WEEKDAY(B112,2),"понедельник","вторник","среда","четверг","пятница","суббота","воскресенье"))</f>
        <v/>
      </c>
      <c r="D112" s="19">
        <f>IF(B112="","",WEEKNUM(B112,21))</f>
        <v/>
      </c>
      <c r="E112" s="19">
        <f>IF(B112="","",MONTH(B112))</f>
        <v/>
      </c>
      <c r="F112" s="19">
        <f>IF(B112="","",IF(WEEKDAY(B112,2)&gt;=6,"вых","раб"))</f>
        <v/>
      </c>
      <c r="G112" s="21" t="n"/>
      <c r="H112" s="21" t="n"/>
      <c r="I112" s="21" t="n"/>
      <c r="J112" s="21" t="n"/>
      <c r="K112" s="21" t="n"/>
      <c r="L112" s="21" t="n"/>
      <c r="M112" s="22" t="n"/>
    </row>
    <row r="113">
      <c r="A113" s="19" t="n">
        <v>108</v>
      </c>
      <c r="B113" s="20">
        <f>IF(DATE(Анкета!$C$12,1,1)+107&gt;DATE(Анкета!$C$12,12,31),"",DATE(Анкета!$C$12,1,1)+107)</f>
        <v/>
      </c>
      <c r="C113" s="19">
        <f>IF(B113="","",CHOOSE(WEEKDAY(B113,2),"понедельник","вторник","среда","четверг","пятница","суббота","воскресенье"))</f>
        <v/>
      </c>
      <c r="D113" s="19">
        <f>IF(B113="","",WEEKNUM(B113,21))</f>
        <v/>
      </c>
      <c r="E113" s="19">
        <f>IF(B113="","",MONTH(B113))</f>
        <v/>
      </c>
      <c r="F113" s="19">
        <f>IF(B113="","",IF(WEEKDAY(B113,2)&gt;=6,"вых","раб"))</f>
        <v/>
      </c>
      <c r="G113" s="21" t="n"/>
      <c r="H113" s="21" t="n"/>
      <c r="I113" s="21" t="n"/>
      <c r="J113" s="21" t="n"/>
      <c r="K113" s="21" t="n"/>
      <c r="L113" s="21" t="n"/>
      <c r="M113" s="22" t="n"/>
    </row>
    <row r="114">
      <c r="A114" s="19" t="n">
        <v>109</v>
      </c>
      <c r="B114" s="20">
        <f>IF(DATE(Анкета!$C$12,1,1)+108&gt;DATE(Анкета!$C$12,12,31),"",DATE(Анкета!$C$12,1,1)+108)</f>
        <v/>
      </c>
      <c r="C114" s="19">
        <f>IF(B114="","",CHOOSE(WEEKDAY(B114,2),"понедельник","вторник","среда","четверг","пятница","суббота","воскресенье"))</f>
        <v/>
      </c>
      <c r="D114" s="19">
        <f>IF(B114="","",WEEKNUM(B114,21))</f>
        <v/>
      </c>
      <c r="E114" s="19">
        <f>IF(B114="","",MONTH(B114))</f>
        <v/>
      </c>
      <c r="F114" s="19">
        <f>IF(B114="","",IF(WEEKDAY(B114,2)&gt;=6,"вых","раб"))</f>
        <v/>
      </c>
      <c r="G114" s="21" t="n"/>
      <c r="H114" s="21" t="n"/>
      <c r="I114" s="21" t="n"/>
      <c r="J114" s="21" t="n"/>
      <c r="K114" s="21" t="n"/>
      <c r="L114" s="21" t="n"/>
      <c r="M114" s="22" t="n"/>
    </row>
    <row r="115">
      <c r="A115" s="19" t="n">
        <v>110</v>
      </c>
      <c r="B115" s="20">
        <f>IF(DATE(Анкета!$C$12,1,1)+109&gt;DATE(Анкета!$C$12,12,31),"",DATE(Анкета!$C$12,1,1)+109)</f>
        <v/>
      </c>
      <c r="C115" s="19">
        <f>IF(B115="","",CHOOSE(WEEKDAY(B115,2),"понедельник","вторник","среда","четверг","пятница","суббота","воскресенье"))</f>
        <v/>
      </c>
      <c r="D115" s="19">
        <f>IF(B115="","",WEEKNUM(B115,21))</f>
        <v/>
      </c>
      <c r="E115" s="19">
        <f>IF(B115="","",MONTH(B115))</f>
        <v/>
      </c>
      <c r="F115" s="19">
        <f>IF(B115="","",IF(WEEKDAY(B115,2)&gt;=6,"вых","раб"))</f>
        <v/>
      </c>
      <c r="G115" s="21" t="n"/>
      <c r="H115" s="21" t="n"/>
      <c r="I115" s="21" t="n"/>
      <c r="J115" s="21" t="n"/>
      <c r="K115" s="21" t="n"/>
      <c r="L115" s="21" t="n"/>
      <c r="M115" s="22" t="n"/>
    </row>
    <row r="116">
      <c r="A116" s="19" t="n">
        <v>111</v>
      </c>
      <c r="B116" s="20">
        <f>IF(DATE(Анкета!$C$12,1,1)+110&gt;DATE(Анкета!$C$12,12,31),"",DATE(Анкета!$C$12,1,1)+110)</f>
        <v/>
      </c>
      <c r="C116" s="19">
        <f>IF(B116="","",CHOOSE(WEEKDAY(B116,2),"понедельник","вторник","среда","четверг","пятница","суббота","воскресенье"))</f>
        <v/>
      </c>
      <c r="D116" s="19">
        <f>IF(B116="","",WEEKNUM(B116,21))</f>
        <v/>
      </c>
      <c r="E116" s="19">
        <f>IF(B116="","",MONTH(B116))</f>
        <v/>
      </c>
      <c r="F116" s="19">
        <f>IF(B116="","",IF(WEEKDAY(B116,2)&gt;=6,"вых","раб"))</f>
        <v/>
      </c>
      <c r="G116" s="21" t="n"/>
      <c r="H116" s="21" t="n"/>
      <c r="I116" s="21" t="n"/>
      <c r="J116" s="21" t="n"/>
      <c r="K116" s="21" t="n"/>
      <c r="L116" s="21" t="n"/>
      <c r="M116" s="22" t="n"/>
    </row>
    <row r="117">
      <c r="A117" s="19" t="n">
        <v>112</v>
      </c>
      <c r="B117" s="20">
        <f>IF(DATE(Анкета!$C$12,1,1)+111&gt;DATE(Анкета!$C$12,12,31),"",DATE(Анкета!$C$12,1,1)+111)</f>
        <v/>
      </c>
      <c r="C117" s="19">
        <f>IF(B117="","",CHOOSE(WEEKDAY(B117,2),"понедельник","вторник","среда","четверг","пятница","суббота","воскресенье"))</f>
        <v/>
      </c>
      <c r="D117" s="19">
        <f>IF(B117="","",WEEKNUM(B117,21))</f>
        <v/>
      </c>
      <c r="E117" s="19">
        <f>IF(B117="","",MONTH(B117))</f>
        <v/>
      </c>
      <c r="F117" s="19">
        <f>IF(B117="","",IF(WEEKDAY(B117,2)&gt;=6,"вых","раб"))</f>
        <v/>
      </c>
      <c r="G117" s="21" t="n"/>
      <c r="H117" s="21" t="n"/>
      <c r="I117" s="21" t="n"/>
      <c r="J117" s="21" t="n"/>
      <c r="K117" s="21" t="n"/>
      <c r="L117" s="21" t="n"/>
      <c r="M117" s="22" t="n"/>
    </row>
    <row r="118">
      <c r="A118" s="19" t="n">
        <v>113</v>
      </c>
      <c r="B118" s="20">
        <f>IF(DATE(Анкета!$C$12,1,1)+112&gt;DATE(Анкета!$C$12,12,31),"",DATE(Анкета!$C$12,1,1)+112)</f>
        <v/>
      </c>
      <c r="C118" s="19">
        <f>IF(B118="","",CHOOSE(WEEKDAY(B118,2),"понедельник","вторник","среда","четверг","пятница","суббота","воскресенье"))</f>
        <v/>
      </c>
      <c r="D118" s="19">
        <f>IF(B118="","",WEEKNUM(B118,21))</f>
        <v/>
      </c>
      <c r="E118" s="19">
        <f>IF(B118="","",MONTH(B118))</f>
        <v/>
      </c>
      <c r="F118" s="19">
        <f>IF(B118="","",IF(WEEKDAY(B118,2)&gt;=6,"вых","раб"))</f>
        <v/>
      </c>
      <c r="G118" s="21" t="n"/>
      <c r="H118" s="21" t="n"/>
      <c r="I118" s="21" t="n"/>
      <c r="J118" s="21" t="n"/>
      <c r="K118" s="21" t="n"/>
      <c r="L118" s="21" t="n"/>
      <c r="M118" s="22" t="n"/>
    </row>
    <row r="119">
      <c r="A119" s="19" t="n">
        <v>114</v>
      </c>
      <c r="B119" s="20">
        <f>IF(DATE(Анкета!$C$12,1,1)+113&gt;DATE(Анкета!$C$12,12,31),"",DATE(Анкета!$C$12,1,1)+113)</f>
        <v/>
      </c>
      <c r="C119" s="19">
        <f>IF(B119="","",CHOOSE(WEEKDAY(B119,2),"понедельник","вторник","среда","четверг","пятница","суббота","воскресенье"))</f>
        <v/>
      </c>
      <c r="D119" s="19">
        <f>IF(B119="","",WEEKNUM(B119,21))</f>
        <v/>
      </c>
      <c r="E119" s="19">
        <f>IF(B119="","",MONTH(B119))</f>
        <v/>
      </c>
      <c r="F119" s="19">
        <f>IF(B119="","",IF(WEEKDAY(B119,2)&gt;=6,"вых","раб"))</f>
        <v/>
      </c>
      <c r="G119" s="21" t="n"/>
      <c r="H119" s="21" t="n"/>
      <c r="I119" s="21" t="n"/>
      <c r="J119" s="21" t="n"/>
      <c r="K119" s="21" t="n"/>
      <c r="L119" s="21" t="n"/>
      <c r="M119" s="22" t="n"/>
    </row>
    <row r="120">
      <c r="A120" s="19" t="n">
        <v>115</v>
      </c>
      <c r="B120" s="20">
        <f>IF(DATE(Анкета!$C$12,1,1)+114&gt;DATE(Анкета!$C$12,12,31),"",DATE(Анкета!$C$12,1,1)+114)</f>
        <v/>
      </c>
      <c r="C120" s="19">
        <f>IF(B120="","",CHOOSE(WEEKDAY(B120,2),"понедельник","вторник","среда","четверг","пятница","суббота","воскресенье"))</f>
        <v/>
      </c>
      <c r="D120" s="19">
        <f>IF(B120="","",WEEKNUM(B120,21))</f>
        <v/>
      </c>
      <c r="E120" s="19">
        <f>IF(B120="","",MONTH(B120))</f>
        <v/>
      </c>
      <c r="F120" s="19">
        <f>IF(B120="","",IF(WEEKDAY(B120,2)&gt;=6,"вых","раб"))</f>
        <v/>
      </c>
      <c r="G120" s="21" t="n"/>
      <c r="H120" s="21" t="n"/>
      <c r="I120" s="21" t="n"/>
      <c r="J120" s="21" t="n"/>
      <c r="K120" s="21" t="n"/>
      <c r="L120" s="21" t="n"/>
      <c r="M120" s="22" t="n"/>
    </row>
    <row r="121">
      <c r="A121" s="19" t="n">
        <v>116</v>
      </c>
      <c r="B121" s="20">
        <f>IF(DATE(Анкета!$C$12,1,1)+115&gt;DATE(Анкета!$C$12,12,31),"",DATE(Анкета!$C$12,1,1)+115)</f>
        <v/>
      </c>
      <c r="C121" s="19">
        <f>IF(B121="","",CHOOSE(WEEKDAY(B121,2),"понедельник","вторник","среда","четверг","пятница","суббота","воскресенье"))</f>
        <v/>
      </c>
      <c r="D121" s="19">
        <f>IF(B121="","",WEEKNUM(B121,21))</f>
        <v/>
      </c>
      <c r="E121" s="19">
        <f>IF(B121="","",MONTH(B121))</f>
        <v/>
      </c>
      <c r="F121" s="19">
        <f>IF(B121="","",IF(WEEKDAY(B121,2)&gt;=6,"вых","раб"))</f>
        <v/>
      </c>
      <c r="G121" s="21" t="n"/>
      <c r="H121" s="21" t="n"/>
      <c r="I121" s="21" t="n"/>
      <c r="J121" s="21" t="n"/>
      <c r="K121" s="21" t="n"/>
      <c r="L121" s="21" t="n"/>
      <c r="M121" s="22" t="n"/>
    </row>
    <row r="122">
      <c r="A122" s="19" t="n">
        <v>117</v>
      </c>
      <c r="B122" s="20">
        <f>IF(DATE(Анкета!$C$12,1,1)+116&gt;DATE(Анкета!$C$12,12,31),"",DATE(Анкета!$C$12,1,1)+116)</f>
        <v/>
      </c>
      <c r="C122" s="19">
        <f>IF(B122="","",CHOOSE(WEEKDAY(B122,2),"понедельник","вторник","среда","четверг","пятница","суббота","воскресенье"))</f>
        <v/>
      </c>
      <c r="D122" s="19">
        <f>IF(B122="","",WEEKNUM(B122,21))</f>
        <v/>
      </c>
      <c r="E122" s="19">
        <f>IF(B122="","",MONTH(B122))</f>
        <v/>
      </c>
      <c r="F122" s="19">
        <f>IF(B122="","",IF(WEEKDAY(B122,2)&gt;=6,"вых","раб"))</f>
        <v/>
      </c>
      <c r="G122" s="21" t="n"/>
      <c r="H122" s="21" t="n"/>
      <c r="I122" s="21" t="n"/>
      <c r="J122" s="21" t="n"/>
      <c r="K122" s="21" t="n"/>
      <c r="L122" s="21" t="n"/>
      <c r="M122" s="22" t="n"/>
    </row>
    <row r="123">
      <c r="A123" s="19" t="n">
        <v>118</v>
      </c>
      <c r="B123" s="20">
        <f>IF(DATE(Анкета!$C$12,1,1)+117&gt;DATE(Анкета!$C$12,12,31),"",DATE(Анкета!$C$12,1,1)+117)</f>
        <v/>
      </c>
      <c r="C123" s="19">
        <f>IF(B123="","",CHOOSE(WEEKDAY(B123,2),"понедельник","вторник","среда","четверг","пятница","суббота","воскресенье"))</f>
        <v/>
      </c>
      <c r="D123" s="19">
        <f>IF(B123="","",WEEKNUM(B123,21))</f>
        <v/>
      </c>
      <c r="E123" s="19">
        <f>IF(B123="","",MONTH(B123))</f>
        <v/>
      </c>
      <c r="F123" s="19">
        <f>IF(B123="","",IF(WEEKDAY(B123,2)&gt;=6,"вых","раб"))</f>
        <v/>
      </c>
      <c r="G123" s="21" t="n"/>
      <c r="H123" s="21" t="n"/>
      <c r="I123" s="21" t="n"/>
      <c r="J123" s="21" t="n"/>
      <c r="K123" s="21" t="n"/>
      <c r="L123" s="21" t="n"/>
      <c r="M123" s="22" t="n"/>
    </row>
    <row r="124">
      <c r="A124" s="19" t="n">
        <v>119</v>
      </c>
      <c r="B124" s="20">
        <f>IF(DATE(Анкета!$C$12,1,1)+118&gt;DATE(Анкета!$C$12,12,31),"",DATE(Анкета!$C$12,1,1)+118)</f>
        <v/>
      </c>
      <c r="C124" s="19">
        <f>IF(B124="","",CHOOSE(WEEKDAY(B124,2),"понедельник","вторник","среда","четверг","пятница","суббота","воскресенье"))</f>
        <v/>
      </c>
      <c r="D124" s="19">
        <f>IF(B124="","",WEEKNUM(B124,21))</f>
        <v/>
      </c>
      <c r="E124" s="19">
        <f>IF(B124="","",MONTH(B124))</f>
        <v/>
      </c>
      <c r="F124" s="19">
        <f>IF(B124="","",IF(WEEKDAY(B124,2)&gt;=6,"вых","раб"))</f>
        <v/>
      </c>
      <c r="G124" s="21" t="n"/>
      <c r="H124" s="21" t="n"/>
      <c r="I124" s="21" t="n"/>
      <c r="J124" s="21" t="n"/>
      <c r="K124" s="21" t="n"/>
      <c r="L124" s="21" t="n"/>
      <c r="M124" s="22" t="n"/>
    </row>
    <row r="125">
      <c r="A125" s="19" t="n">
        <v>120</v>
      </c>
      <c r="B125" s="20">
        <f>IF(DATE(Анкета!$C$12,1,1)+119&gt;DATE(Анкета!$C$12,12,31),"",DATE(Анкета!$C$12,1,1)+119)</f>
        <v/>
      </c>
      <c r="C125" s="19">
        <f>IF(B125="","",CHOOSE(WEEKDAY(B125,2),"понедельник","вторник","среда","четверг","пятница","суббота","воскресенье"))</f>
        <v/>
      </c>
      <c r="D125" s="19">
        <f>IF(B125="","",WEEKNUM(B125,21))</f>
        <v/>
      </c>
      <c r="E125" s="19">
        <f>IF(B125="","",MONTH(B125))</f>
        <v/>
      </c>
      <c r="F125" s="19">
        <f>IF(B125="","",IF(WEEKDAY(B125,2)&gt;=6,"вых","раб"))</f>
        <v/>
      </c>
      <c r="G125" s="21" t="n"/>
      <c r="H125" s="21" t="n"/>
      <c r="I125" s="21" t="n"/>
      <c r="J125" s="21" t="n"/>
      <c r="K125" s="21" t="n"/>
      <c r="L125" s="21" t="n"/>
      <c r="M125" s="22" t="n"/>
    </row>
    <row r="126">
      <c r="A126" s="19" t="n">
        <v>121</v>
      </c>
      <c r="B126" s="20">
        <f>IF(DATE(Анкета!$C$12,1,1)+120&gt;DATE(Анкета!$C$12,12,31),"",DATE(Анкета!$C$12,1,1)+120)</f>
        <v/>
      </c>
      <c r="C126" s="19">
        <f>IF(B126="","",CHOOSE(WEEKDAY(B126,2),"понедельник","вторник","среда","четверг","пятница","суббота","воскресенье"))</f>
        <v/>
      </c>
      <c r="D126" s="19">
        <f>IF(B126="","",WEEKNUM(B126,21))</f>
        <v/>
      </c>
      <c r="E126" s="19">
        <f>IF(B126="","",MONTH(B126))</f>
        <v/>
      </c>
      <c r="F126" s="19">
        <f>IF(B126="","",IF(WEEKDAY(B126,2)&gt;=6,"вых","раб"))</f>
        <v/>
      </c>
      <c r="G126" s="21" t="n"/>
      <c r="H126" s="21" t="n"/>
      <c r="I126" s="21" t="n"/>
      <c r="J126" s="21" t="n"/>
      <c r="K126" s="21" t="n"/>
      <c r="L126" s="21" t="n"/>
      <c r="M126" s="22" t="n"/>
    </row>
    <row r="127">
      <c r="A127" s="19" t="n">
        <v>122</v>
      </c>
      <c r="B127" s="20">
        <f>IF(DATE(Анкета!$C$12,1,1)+121&gt;DATE(Анкета!$C$12,12,31),"",DATE(Анкета!$C$12,1,1)+121)</f>
        <v/>
      </c>
      <c r="C127" s="19">
        <f>IF(B127="","",CHOOSE(WEEKDAY(B127,2),"понедельник","вторник","среда","четверг","пятница","суббота","воскресенье"))</f>
        <v/>
      </c>
      <c r="D127" s="19">
        <f>IF(B127="","",WEEKNUM(B127,21))</f>
        <v/>
      </c>
      <c r="E127" s="19">
        <f>IF(B127="","",MONTH(B127))</f>
        <v/>
      </c>
      <c r="F127" s="19">
        <f>IF(B127="","",IF(WEEKDAY(B127,2)&gt;=6,"вых","раб"))</f>
        <v/>
      </c>
      <c r="G127" s="21" t="n"/>
      <c r="H127" s="21" t="n"/>
      <c r="I127" s="21" t="n"/>
      <c r="J127" s="21" t="n"/>
      <c r="K127" s="21" t="n"/>
      <c r="L127" s="21" t="n"/>
      <c r="M127" s="22" t="n"/>
    </row>
    <row r="128">
      <c r="A128" s="19" t="n">
        <v>123</v>
      </c>
      <c r="B128" s="20">
        <f>IF(DATE(Анкета!$C$12,1,1)+122&gt;DATE(Анкета!$C$12,12,31),"",DATE(Анкета!$C$12,1,1)+122)</f>
        <v/>
      </c>
      <c r="C128" s="19">
        <f>IF(B128="","",CHOOSE(WEEKDAY(B128,2),"понедельник","вторник","среда","четверг","пятница","суббота","воскресенье"))</f>
        <v/>
      </c>
      <c r="D128" s="19">
        <f>IF(B128="","",WEEKNUM(B128,21))</f>
        <v/>
      </c>
      <c r="E128" s="19">
        <f>IF(B128="","",MONTH(B128))</f>
        <v/>
      </c>
      <c r="F128" s="19">
        <f>IF(B128="","",IF(WEEKDAY(B128,2)&gt;=6,"вых","раб"))</f>
        <v/>
      </c>
      <c r="G128" s="21" t="n"/>
      <c r="H128" s="21" t="n"/>
      <c r="I128" s="21" t="n"/>
      <c r="J128" s="21" t="n"/>
      <c r="K128" s="21" t="n"/>
      <c r="L128" s="21" t="n"/>
      <c r="M128" s="22" t="n"/>
    </row>
    <row r="129">
      <c r="A129" s="19" t="n">
        <v>124</v>
      </c>
      <c r="B129" s="20">
        <f>IF(DATE(Анкета!$C$12,1,1)+123&gt;DATE(Анкета!$C$12,12,31),"",DATE(Анкета!$C$12,1,1)+123)</f>
        <v/>
      </c>
      <c r="C129" s="19">
        <f>IF(B129="","",CHOOSE(WEEKDAY(B129,2),"понедельник","вторник","среда","четверг","пятница","суббота","воскресенье"))</f>
        <v/>
      </c>
      <c r="D129" s="19">
        <f>IF(B129="","",WEEKNUM(B129,21))</f>
        <v/>
      </c>
      <c r="E129" s="19">
        <f>IF(B129="","",MONTH(B129))</f>
        <v/>
      </c>
      <c r="F129" s="19">
        <f>IF(B129="","",IF(WEEKDAY(B129,2)&gt;=6,"вых","раб"))</f>
        <v/>
      </c>
      <c r="G129" s="21" t="n"/>
      <c r="H129" s="21" t="n"/>
      <c r="I129" s="21" t="n"/>
      <c r="J129" s="21" t="n"/>
      <c r="K129" s="21" t="n"/>
      <c r="L129" s="21" t="n"/>
      <c r="M129" s="22" t="n"/>
    </row>
    <row r="130">
      <c r="A130" s="19" t="n">
        <v>125</v>
      </c>
      <c r="B130" s="20">
        <f>IF(DATE(Анкета!$C$12,1,1)+124&gt;DATE(Анкета!$C$12,12,31),"",DATE(Анкета!$C$12,1,1)+124)</f>
        <v/>
      </c>
      <c r="C130" s="19">
        <f>IF(B130="","",CHOOSE(WEEKDAY(B130,2),"понедельник","вторник","среда","четверг","пятница","суббота","воскресенье"))</f>
        <v/>
      </c>
      <c r="D130" s="19">
        <f>IF(B130="","",WEEKNUM(B130,21))</f>
        <v/>
      </c>
      <c r="E130" s="19">
        <f>IF(B130="","",MONTH(B130))</f>
        <v/>
      </c>
      <c r="F130" s="19">
        <f>IF(B130="","",IF(WEEKDAY(B130,2)&gt;=6,"вых","раб"))</f>
        <v/>
      </c>
      <c r="G130" s="21" t="n"/>
      <c r="H130" s="21" t="n"/>
      <c r="I130" s="21" t="n"/>
      <c r="J130" s="21" t="n"/>
      <c r="K130" s="21" t="n"/>
      <c r="L130" s="21" t="n"/>
      <c r="M130" s="22" t="n"/>
    </row>
    <row r="131">
      <c r="A131" s="19" t="n">
        <v>126</v>
      </c>
      <c r="B131" s="20">
        <f>IF(DATE(Анкета!$C$12,1,1)+125&gt;DATE(Анкета!$C$12,12,31),"",DATE(Анкета!$C$12,1,1)+125)</f>
        <v/>
      </c>
      <c r="C131" s="19">
        <f>IF(B131="","",CHOOSE(WEEKDAY(B131,2),"понедельник","вторник","среда","четверг","пятница","суббота","воскресенье"))</f>
        <v/>
      </c>
      <c r="D131" s="19">
        <f>IF(B131="","",WEEKNUM(B131,21))</f>
        <v/>
      </c>
      <c r="E131" s="19">
        <f>IF(B131="","",MONTH(B131))</f>
        <v/>
      </c>
      <c r="F131" s="19">
        <f>IF(B131="","",IF(WEEKDAY(B131,2)&gt;=6,"вых","раб"))</f>
        <v/>
      </c>
      <c r="G131" s="21" t="n"/>
      <c r="H131" s="21" t="n"/>
      <c r="I131" s="21" t="n"/>
      <c r="J131" s="21" t="n"/>
      <c r="K131" s="21" t="n"/>
      <c r="L131" s="21" t="n"/>
      <c r="M131" s="22" t="n"/>
    </row>
    <row r="132">
      <c r="A132" s="19" t="n">
        <v>127</v>
      </c>
      <c r="B132" s="20">
        <f>IF(DATE(Анкета!$C$12,1,1)+126&gt;DATE(Анкета!$C$12,12,31),"",DATE(Анкета!$C$12,1,1)+126)</f>
        <v/>
      </c>
      <c r="C132" s="19">
        <f>IF(B132="","",CHOOSE(WEEKDAY(B132,2),"понедельник","вторник","среда","четверг","пятница","суббота","воскресенье"))</f>
        <v/>
      </c>
      <c r="D132" s="19">
        <f>IF(B132="","",WEEKNUM(B132,21))</f>
        <v/>
      </c>
      <c r="E132" s="19">
        <f>IF(B132="","",MONTH(B132))</f>
        <v/>
      </c>
      <c r="F132" s="19">
        <f>IF(B132="","",IF(WEEKDAY(B132,2)&gt;=6,"вых","раб"))</f>
        <v/>
      </c>
      <c r="G132" s="21" t="n"/>
      <c r="H132" s="21" t="n"/>
      <c r="I132" s="21" t="n"/>
      <c r="J132" s="21" t="n"/>
      <c r="K132" s="21" t="n"/>
      <c r="L132" s="21" t="n"/>
      <c r="M132" s="22" t="n"/>
    </row>
    <row r="133">
      <c r="A133" s="19" t="n">
        <v>128</v>
      </c>
      <c r="B133" s="20">
        <f>IF(DATE(Анкета!$C$12,1,1)+127&gt;DATE(Анкета!$C$12,12,31),"",DATE(Анкета!$C$12,1,1)+127)</f>
        <v/>
      </c>
      <c r="C133" s="19">
        <f>IF(B133="","",CHOOSE(WEEKDAY(B133,2),"понедельник","вторник","среда","четверг","пятница","суббота","воскресенье"))</f>
        <v/>
      </c>
      <c r="D133" s="19">
        <f>IF(B133="","",WEEKNUM(B133,21))</f>
        <v/>
      </c>
      <c r="E133" s="19">
        <f>IF(B133="","",MONTH(B133))</f>
        <v/>
      </c>
      <c r="F133" s="19">
        <f>IF(B133="","",IF(WEEKDAY(B133,2)&gt;=6,"вых","раб"))</f>
        <v/>
      </c>
      <c r="G133" s="21" t="n"/>
      <c r="H133" s="21" t="n"/>
      <c r="I133" s="21" t="n"/>
      <c r="J133" s="21" t="n"/>
      <c r="K133" s="21" t="n"/>
      <c r="L133" s="21" t="n"/>
      <c r="M133" s="22" t="n"/>
    </row>
    <row r="134">
      <c r="A134" s="19" t="n">
        <v>129</v>
      </c>
      <c r="B134" s="20">
        <f>IF(DATE(Анкета!$C$12,1,1)+128&gt;DATE(Анкета!$C$12,12,31),"",DATE(Анкета!$C$12,1,1)+128)</f>
        <v/>
      </c>
      <c r="C134" s="19">
        <f>IF(B134="","",CHOOSE(WEEKDAY(B134,2),"понедельник","вторник","среда","четверг","пятница","суббота","воскресенье"))</f>
        <v/>
      </c>
      <c r="D134" s="19">
        <f>IF(B134="","",WEEKNUM(B134,21))</f>
        <v/>
      </c>
      <c r="E134" s="19">
        <f>IF(B134="","",MONTH(B134))</f>
        <v/>
      </c>
      <c r="F134" s="19">
        <f>IF(B134="","",IF(WEEKDAY(B134,2)&gt;=6,"вых","раб"))</f>
        <v/>
      </c>
      <c r="G134" s="21" t="n"/>
      <c r="H134" s="21" t="n"/>
      <c r="I134" s="21" t="n"/>
      <c r="J134" s="21" t="n"/>
      <c r="K134" s="21" t="n"/>
      <c r="L134" s="21" t="n"/>
      <c r="M134" s="22" t="n"/>
    </row>
    <row r="135">
      <c r="A135" s="19" t="n">
        <v>130</v>
      </c>
      <c r="B135" s="20">
        <f>IF(DATE(Анкета!$C$12,1,1)+129&gt;DATE(Анкета!$C$12,12,31),"",DATE(Анкета!$C$12,1,1)+129)</f>
        <v/>
      </c>
      <c r="C135" s="19">
        <f>IF(B135="","",CHOOSE(WEEKDAY(B135,2),"понедельник","вторник","среда","четверг","пятница","суббота","воскресенье"))</f>
        <v/>
      </c>
      <c r="D135" s="19">
        <f>IF(B135="","",WEEKNUM(B135,21))</f>
        <v/>
      </c>
      <c r="E135" s="19">
        <f>IF(B135="","",MONTH(B135))</f>
        <v/>
      </c>
      <c r="F135" s="19">
        <f>IF(B135="","",IF(WEEKDAY(B135,2)&gt;=6,"вых","раб"))</f>
        <v/>
      </c>
      <c r="G135" s="21" t="n"/>
      <c r="H135" s="21" t="n"/>
      <c r="I135" s="21" t="n"/>
      <c r="J135" s="21" t="n"/>
      <c r="K135" s="21" t="n"/>
      <c r="L135" s="21" t="n"/>
      <c r="M135" s="22" t="n"/>
    </row>
    <row r="136">
      <c r="A136" s="19" t="n">
        <v>131</v>
      </c>
      <c r="B136" s="20">
        <f>IF(DATE(Анкета!$C$12,1,1)+130&gt;DATE(Анкета!$C$12,12,31),"",DATE(Анкета!$C$12,1,1)+130)</f>
        <v/>
      </c>
      <c r="C136" s="19">
        <f>IF(B136="","",CHOOSE(WEEKDAY(B136,2),"понедельник","вторник","среда","четверг","пятница","суббота","воскресенье"))</f>
        <v/>
      </c>
      <c r="D136" s="19">
        <f>IF(B136="","",WEEKNUM(B136,21))</f>
        <v/>
      </c>
      <c r="E136" s="19">
        <f>IF(B136="","",MONTH(B136))</f>
        <v/>
      </c>
      <c r="F136" s="19">
        <f>IF(B136="","",IF(WEEKDAY(B136,2)&gt;=6,"вых","раб"))</f>
        <v/>
      </c>
      <c r="G136" s="21" t="n"/>
      <c r="H136" s="21" t="n"/>
      <c r="I136" s="21" t="n"/>
      <c r="J136" s="21" t="n"/>
      <c r="K136" s="21" t="n"/>
      <c r="L136" s="21" t="n"/>
      <c r="M136" s="22" t="n"/>
    </row>
    <row r="137">
      <c r="A137" s="19" t="n">
        <v>132</v>
      </c>
      <c r="B137" s="20">
        <f>IF(DATE(Анкета!$C$12,1,1)+131&gt;DATE(Анкета!$C$12,12,31),"",DATE(Анкета!$C$12,1,1)+131)</f>
        <v/>
      </c>
      <c r="C137" s="19">
        <f>IF(B137="","",CHOOSE(WEEKDAY(B137,2),"понедельник","вторник","среда","четверг","пятница","суббота","воскресенье"))</f>
        <v/>
      </c>
      <c r="D137" s="19">
        <f>IF(B137="","",WEEKNUM(B137,21))</f>
        <v/>
      </c>
      <c r="E137" s="19">
        <f>IF(B137="","",MONTH(B137))</f>
        <v/>
      </c>
      <c r="F137" s="19">
        <f>IF(B137="","",IF(WEEKDAY(B137,2)&gt;=6,"вых","раб"))</f>
        <v/>
      </c>
      <c r="G137" s="21" t="n"/>
      <c r="H137" s="21" t="n"/>
      <c r="I137" s="21" t="n"/>
      <c r="J137" s="21" t="n"/>
      <c r="K137" s="21" t="n"/>
      <c r="L137" s="21" t="n"/>
      <c r="M137" s="22" t="n"/>
    </row>
    <row r="138">
      <c r="A138" s="19" t="n">
        <v>133</v>
      </c>
      <c r="B138" s="20">
        <f>IF(DATE(Анкета!$C$12,1,1)+132&gt;DATE(Анкета!$C$12,12,31),"",DATE(Анкета!$C$12,1,1)+132)</f>
        <v/>
      </c>
      <c r="C138" s="19">
        <f>IF(B138="","",CHOOSE(WEEKDAY(B138,2),"понедельник","вторник","среда","четверг","пятница","суббота","воскресенье"))</f>
        <v/>
      </c>
      <c r="D138" s="19">
        <f>IF(B138="","",WEEKNUM(B138,21))</f>
        <v/>
      </c>
      <c r="E138" s="19">
        <f>IF(B138="","",MONTH(B138))</f>
        <v/>
      </c>
      <c r="F138" s="19">
        <f>IF(B138="","",IF(WEEKDAY(B138,2)&gt;=6,"вых","раб"))</f>
        <v/>
      </c>
      <c r="G138" s="21" t="n"/>
      <c r="H138" s="21" t="n"/>
      <c r="I138" s="21" t="n"/>
      <c r="J138" s="21" t="n"/>
      <c r="K138" s="21" t="n"/>
      <c r="L138" s="21" t="n"/>
      <c r="M138" s="22" t="n"/>
    </row>
    <row r="139">
      <c r="A139" s="19" t="n">
        <v>134</v>
      </c>
      <c r="B139" s="20">
        <f>IF(DATE(Анкета!$C$12,1,1)+133&gt;DATE(Анкета!$C$12,12,31),"",DATE(Анкета!$C$12,1,1)+133)</f>
        <v/>
      </c>
      <c r="C139" s="19">
        <f>IF(B139="","",CHOOSE(WEEKDAY(B139,2),"понедельник","вторник","среда","четверг","пятница","суббота","воскресенье"))</f>
        <v/>
      </c>
      <c r="D139" s="19">
        <f>IF(B139="","",WEEKNUM(B139,21))</f>
        <v/>
      </c>
      <c r="E139" s="19">
        <f>IF(B139="","",MONTH(B139))</f>
        <v/>
      </c>
      <c r="F139" s="19">
        <f>IF(B139="","",IF(WEEKDAY(B139,2)&gt;=6,"вых","раб"))</f>
        <v/>
      </c>
      <c r="G139" s="21" t="n"/>
      <c r="H139" s="21" t="n"/>
      <c r="I139" s="21" t="n"/>
      <c r="J139" s="21" t="n"/>
      <c r="K139" s="21" t="n"/>
      <c r="L139" s="21" t="n"/>
      <c r="M139" s="22" t="n"/>
    </row>
    <row r="140">
      <c r="A140" s="19" t="n">
        <v>135</v>
      </c>
      <c r="B140" s="20">
        <f>IF(DATE(Анкета!$C$12,1,1)+134&gt;DATE(Анкета!$C$12,12,31),"",DATE(Анкета!$C$12,1,1)+134)</f>
        <v/>
      </c>
      <c r="C140" s="19">
        <f>IF(B140="","",CHOOSE(WEEKDAY(B140,2),"понедельник","вторник","среда","четверг","пятница","суббота","воскресенье"))</f>
        <v/>
      </c>
      <c r="D140" s="19">
        <f>IF(B140="","",WEEKNUM(B140,21))</f>
        <v/>
      </c>
      <c r="E140" s="19">
        <f>IF(B140="","",MONTH(B140))</f>
        <v/>
      </c>
      <c r="F140" s="19">
        <f>IF(B140="","",IF(WEEKDAY(B140,2)&gt;=6,"вых","раб"))</f>
        <v/>
      </c>
      <c r="G140" s="21" t="n"/>
      <c r="H140" s="21" t="n"/>
      <c r="I140" s="21" t="n"/>
      <c r="J140" s="21" t="n"/>
      <c r="K140" s="21" t="n"/>
      <c r="L140" s="21" t="n"/>
      <c r="M140" s="22" t="n"/>
    </row>
    <row r="141">
      <c r="A141" s="19" t="n">
        <v>136</v>
      </c>
      <c r="B141" s="20">
        <f>IF(DATE(Анкета!$C$12,1,1)+135&gt;DATE(Анкета!$C$12,12,31),"",DATE(Анкета!$C$12,1,1)+135)</f>
        <v/>
      </c>
      <c r="C141" s="19">
        <f>IF(B141="","",CHOOSE(WEEKDAY(B141,2),"понедельник","вторник","среда","четверг","пятница","суббота","воскресенье"))</f>
        <v/>
      </c>
      <c r="D141" s="19">
        <f>IF(B141="","",WEEKNUM(B141,21))</f>
        <v/>
      </c>
      <c r="E141" s="19">
        <f>IF(B141="","",MONTH(B141))</f>
        <v/>
      </c>
      <c r="F141" s="19">
        <f>IF(B141="","",IF(WEEKDAY(B141,2)&gt;=6,"вых","раб"))</f>
        <v/>
      </c>
      <c r="G141" s="21" t="n"/>
      <c r="H141" s="21" t="n"/>
      <c r="I141" s="21" t="n"/>
      <c r="J141" s="21" t="n"/>
      <c r="K141" s="21" t="n"/>
      <c r="L141" s="21" t="n"/>
      <c r="M141" s="22" t="n"/>
    </row>
    <row r="142">
      <c r="A142" s="19" t="n">
        <v>137</v>
      </c>
      <c r="B142" s="20">
        <f>IF(DATE(Анкета!$C$12,1,1)+136&gt;DATE(Анкета!$C$12,12,31),"",DATE(Анкета!$C$12,1,1)+136)</f>
        <v/>
      </c>
      <c r="C142" s="19">
        <f>IF(B142="","",CHOOSE(WEEKDAY(B142,2),"понедельник","вторник","среда","четверг","пятница","суббота","воскресенье"))</f>
        <v/>
      </c>
      <c r="D142" s="19">
        <f>IF(B142="","",WEEKNUM(B142,21))</f>
        <v/>
      </c>
      <c r="E142" s="19">
        <f>IF(B142="","",MONTH(B142))</f>
        <v/>
      </c>
      <c r="F142" s="19">
        <f>IF(B142="","",IF(WEEKDAY(B142,2)&gt;=6,"вых","раб"))</f>
        <v/>
      </c>
      <c r="G142" s="21" t="n"/>
      <c r="H142" s="21" t="n"/>
      <c r="I142" s="21" t="n"/>
      <c r="J142" s="21" t="n"/>
      <c r="K142" s="21" t="n"/>
      <c r="L142" s="21" t="n"/>
      <c r="M142" s="22" t="n"/>
    </row>
    <row r="143">
      <c r="A143" s="19" t="n">
        <v>138</v>
      </c>
      <c r="B143" s="20">
        <f>IF(DATE(Анкета!$C$12,1,1)+137&gt;DATE(Анкета!$C$12,12,31),"",DATE(Анкета!$C$12,1,1)+137)</f>
        <v/>
      </c>
      <c r="C143" s="19">
        <f>IF(B143="","",CHOOSE(WEEKDAY(B143,2),"понедельник","вторник","среда","четверг","пятница","суббота","воскресенье"))</f>
        <v/>
      </c>
      <c r="D143" s="19">
        <f>IF(B143="","",WEEKNUM(B143,21))</f>
        <v/>
      </c>
      <c r="E143" s="19">
        <f>IF(B143="","",MONTH(B143))</f>
        <v/>
      </c>
      <c r="F143" s="19">
        <f>IF(B143="","",IF(WEEKDAY(B143,2)&gt;=6,"вых","раб"))</f>
        <v/>
      </c>
      <c r="G143" s="21" t="n"/>
      <c r="H143" s="21" t="n"/>
      <c r="I143" s="21" t="n"/>
      <c r="J143" s="21" t="n"/>
      <c r="K143" s="21" t="n"/>
      <c r="L143" s="21" t="n"/>
      <c r="M143" s="22" t="n"/>
    </row>
    <row r="144">
      <c r="A144" s="19" t="n">
        <v>139</v>
      </c>
      <c r="B144" s="20">
        <f>IF(DATE(Анкета!$C$12,1,1)+138&gt;DATE(Анкета!$C$12,12,31),"",DATE(Анкета!$C$12,1,1)+138)</f>
        <v/>
      </c>
      <c r="C144" s="19">
        <f>IF(B144="","",CHOOSE(WEEKDAY(B144,2),"понедельник","вторник","среда","четверг","пятница","суббота","воскресенье"))</f>
        <v/>
      </c>
      <c r="D144" s="19">
        <f>IF(B144="","",WEEKNUM(B144,21))</f>
        <v/>
      </c>
      <c r="E144" s="19">
        <f>IF(B144="","",MONTH(B144))</f>
        <v/>
      </c>
      <c r="F144" s="19">
        <f>IF(B144="","",IF(WEEKDAY(B144,2)&gt;=6,"вых","раб"))</f>
        <v/>
      </c>
      <c r="G144" s="21" t="n"/>
      <c r="H144" s="21" t="n"/>
      <c r="I144" s="21" t="n"/>
      <c r="J144" s="21" t="n"/>
      <c r="K144" s="21" t="n"/>
      <c r="L144" s="21" t="n"/>
      <c r="M144" s="22" t="n"/>
    </row>
    <row r="145">
      <c r="A145" s="19" t="n">
        <v>140</v>
      </c>
      <c r="B145" s="20">
        <f>IF(DATE(Анкета!$C$12,1,1)+139&gt;DATE(Анкета!$C$12,12,31),"",DATE(Анкета!$C$12,1,1)+139)</f>
        <v/>
      </c>
      <c r="C145" s="19">
        <f>IF(B145="","",CHOOSE(WEEKDAY(B145,2),"понедельник","вторник","среда","четверг","пятница","суббота","воскресенье"))</f>
        <v/>
      </c>
      <c r="D145" s="19">
        <f>IF(B145="","",WEEKNUM(B145,21))</f>
        <v/>
      </c>
      <c r="E145" s="19">
        <f>IF(B145="","",MONTH(B145))</f>
        <v/>
      </c>
      <c r="F145" s="19">
        <f>IF(B145="","",IF(WEEKDAY(B145,2)&gt;=6,"вых","раб"))</f>
        <v/>
      </c>
      <c r="G145" s="21" t="n"/>
      <c r="H145" s="21" t="n"/>
      <c r="I145" s="21" t="n"/>
      <c r="J145" s="21" t="n"/>
      <c r="K145" s="21" t="n"/>
      <c r="L145" s="21" t="n"/>
      <c r="M145" s="22" t="n"/>
    </row>
    <row r="146">
      <c r="A146" s="19" t="n">
        <v>141</v>
      </c>
      <c r="B146" s="20">
        <f>IF(DATE(Анкета!$C$12,1,1)+140&gt;DATE(Анкета!$C$12,12,31),"",DATE(Анкета!$C$12,1,1)+140)</f>
        <v/>
      </c>
      <c r="C146" s="19">
        <f>IF(B146="","",CHOOSE(WEEKDAY(B146,2),"понедельник","вторник","среда","четверг","пятница","суббота","воскресенье"))</f>
        <v/>
      </c>
      <c r="D146" s="19">
        <f>IF(B146="","",WEEKNUM(B146,21))</f>
        <v/>
      </c>
      <c r="E146" s="19">
        <f>IF(B146="","",MONTH(B146))</f>
        <v/>
      </c>
      <c r="F146" s="19">
        <f>IF(B146="","",IF(WEEKDAY(B146,2)&gt;=6,"вых","раб"))</f>
        <v/>
      </c>
      <c r="G146" s="21" t="n"/>
      <c r="H146" s="21" t="n"/>
      <c r="I146" s="21" t="n"/>
      <c r="J146" s="21" t="n"/>
      <c r="K146" s="21" t="n"/>
      <c r="L146" s="21" t="n"/>
      <c r="M146" s="22" t="n"/>
    </row>
    <row r="147">
      <c r="A147" s="19" t="n">
        <v>142</v>
      </c>
      <c r="B147" s="20">
        <f>IF(DATE(Анкета!$C$12,1,1)+141&gt;DATE(Анкета!$C$12,12,31),"",DATE(Анкета!$C$12,1,1)+141)</f>
        <v/>
      </c>
      <c r="C147" s="19">
        <f>IF(B147="","",CHOOSE(WEEKDAY(B147,2),"понедельник","вторник","среда","четверг","пятница","суббота","воскресенье"))</f>
        <v/>
      </c>
      <c r="D147" s="19">
        <f>IF(B147="","",WEEKNUM(B147,21))</f>
        <v/>
      </c>
      <c r="E147" s="19">
        <f>IF(B147="","",MONTH(B147))</f>
        <v/>
      </c>
      <c r="F147" s="19">
        <f>IF(B147="","",IF(WEEKDAY(B147,2)&gt;=6,"вых","раб"))</f>
        <v/>
      </c>
      <c r="G147" s="21" t="n"/>
      <c r="H147" s="21" t="n"/>
      <c r="I147" s="21" t="n"/>
      <c r="J147" s="21" t="n"/>
      <c r="K147" s="21" t="n"/>
      <c r="L147" s="21" t="n"/>
      <c r="M147" s="22" t="n"/>
    </row>
    <row r="148">
      <c r="A148" s="19" t="n">
        <v>143</v>
      </c>
      <c r="B148" s="20">
        <f>IF(DATE(Анкета!$C$12,1,1)+142&gt;DATE(Анкета!$C$12,12,31),"",DATE(Анкета!$C$12,1,1)+142)</f>
        <v/>
      </c>
      <c r="C148" s="19">
        <f>IF(B148="","",CHOOSE(WEEKDAY(B148,2),"понедельник","вторник","среда","четверг","пятница","суббота","воскресенье"))</f>
        <v/>
      </c>
      <c r="D148" s="19">
        <f>IF(B148="","",WEEKNUM(B148,21))</f>
        <v/>
      </c>
      <c r="E148" s="19">
        <f>IF(B148="","",MONTH(B148))</f>
        <v/>
      </c>
      <c r="F148" s="19">
        <f>IF(B148="","",IF(WEEKDAY(B148,2)&gt;=6,"вых","раб"))</f>
        <v/>
      </c>
      <c r="G148" s="21" t="n"/>
      <c r="H148" s="21" t="n"/>
      <c r="I148" s="21" t="n"/>
      <c r="J148" s="21" t="n"/>
      <c r="K148" s="21" t="n"/>
      <c r="L148" s="21" t="n"/>
      <c r="M148" s="22" t="n"/>
    </row>
    <row r="149">
      <c r="A149" s="19" t="n">
        <v>144</v>
      </c>
      <c r="B149" s="20">
        <f>IF(DATE(Анкета!$C$12,1,1)+143&gt;DATE(Анкета!$C$12,12,31),"",DATE(Анкета!$C$12,1,1)+143)</f>
        <v/>
      </c>
      <c r="C149" s="19">
        <f>IF(B149="","",CHOOSE(WEEKDAY(B149,2),"понедельник","вторник","среда","четверг","пятница","суббота","воскресенье"))</f>
        <v/>
      </c>
      <c r="D149" s="19">
        <f>IF(B149="","",WEEKNUM(B149,21))</f>
        <v/>
      </c>
      <c r="E149" s="19">
        <f>IF(B149="","",MONTH(B149))</f>
        <v/>
      </c>
      <c r="F149" s="19">
        <f>IF(B149="","",IF(WEEKDAY(B149,2)&gt;=6,"вых","раб"))</f>
        <v/>
      </c>
      <c r="G149" s="21" t="n"/>
      <c r="H149" s="21" t="n"/>
      <c r="I149" s="21" t="n"/>
      <c r="J149" s="21" t="n"/>
      <c r="K149" s="21" t="n"/>
      <c r="L149" s="21" t="n"/>
      <c r="M149" s="22" t="n"/>
    </row>
    <row r="150">
      <c r="A150" s="19" t="n">
        <v>145</v>
      </c>
      <c r="B150" s="20">
        <f>IF(DATE(Анкета!$C$12,1,1)+144&gt;DATE(Анкета!$C$12,12,31),"",DATE(Анкета!$C$12,1,1)+144)</f>
        <v/>
      </c>
      <c r="C150" s="19">
        <f>IF(B150="","",CHOOSE(WEEKDAY(B150,2),"понедельник","вторник","среда","четверг","пятница","суббота","воскресенье"))</f>
        <v/>
      </c>
      <c r="D150" s="19">
        <f>IF(B150="","",WEEKNUM(B150,21))</f>
        <v/>
      </c>
      <c r="E150" s="19">
        <f>IF(B150="","",MONTH(B150))</f>
        <v/>
      </c>
      <c r="F150" s="19">
        <f>IF(B150="","",IF(WEEKDAY(B150,2)&gt;=6,"вых","раб"))</f>
        <v/>
      </c>
      <c r="G150" s="21" t="n"/>
      <c r="H150" s="21" t="n"/>
      <c r="I150" s="21" t="n"/>
      <c r="J150" s="21" t="n"/>
      <c r="K150" s="21" t="n"/>
      <c r="L150" s="21" t="n"/>
      <c r="M150" s="22" t="n"/>
    </row>
    <row r="151">
      <c r="A151" s="19" t="n">
        <v>146</v>
      </c>
      <c r="B151" s="20">
        <f>IF(DATE(Анкета!$C$12,1,1)+145&gt;DATE(Анкета!$C$12,12,31),"",DATE(Анкета!$C$12,1,1)+145)</f>
        <v/>
      </c>
      <c r="C151" s="19">
        <f>IF(B151="","",CHOOSE(WEEKDAY(B151,2),"понедельник","вторник","среда","четверг","пятница","суббота","воскресенье"))</f>
        <v/>
      </c>
      <c r="D151" s="19">
        <f>IF(B151="","",WEEKNUM(B151,21))</f>
        <v/>
      </c>
      <c r="E151" s="19">
        <f>IF(B151="","",MONTH(B151))</f>
        <v/>
      </c>
      <c r="F151" s="19">
        <f>IF(B151="","",IF(WEEKDAY(B151,2)&gt;=6,"вых","раб"))</f>
        <v/>
      </c>
      <c r="G151" s="21" t="n"/>
      <c r="H151" s="21" t="n"/>
      <c r="I151" s="21" t="n"/>
      <c r="J151" s="21" t="n"/>
      <c r="K151" s="21" t="n"/>
      <c r="L151" s="21" t="n"/>
      <c r="M151" s="22" t="n"/>
    </row>
    <row r="152">
      <c r="A152" s="19" t="n">
        <v>147</v>
      </c>
      <c r="B152" s="20">
        <f>IF(DATE(Анкета!$C$12,1,1)+146&gt;DATE(Анкета!$C$12,12,31),"",DATE(Анкета!$C$12,1,1)+146)</f>
        <v/>
      </c>
      <c r="C152" s="19">
        <f>IF(B152="","",CHOOSE(WEEKDAY(B152,2),"понедельник","вторник","среда","четверг","пятница","суббота","воскресенье"))</f>
        <v/>
      </c>
      <c r="D152" s="19">
        <f>IF(B152="","",WEEKNUM(B152,21))</f>
        <v/>
      </c>
      <c r="E152" s="19">
        <f>IF(B152="","",MONTH(B152))</f>
        <v/>
      </c>
      <c r="F152" s="19">
        <f>IF(B152="","",IF(WEEKDAY(B152,2)&gt;=6,"вых","раб"))</f>
        <v/>
      </c>
      <c r="G152" s="21" t="n"/>
      <c r="H152" s="21" t="n"/>
      <c r="I152" s="21" t="n"/>
      <c r="J152" s="21" t="n"/>
      <c r="K152" s="21" t="n"/>
      <c r="L152" s="21" t="n"/>
      <c r="M152" s="22" t="n"/>
    </row>
    <row r="153">
      <c r="A153" s="19" t="n">
        <v>148</v>
      </c>
      <c r="B153" s="20">
        <f>IF(DATE(Анкета!$C$12,1,1)+147&gt;DATE(Анкета!$C$12,12,31),"",DATE(Анкета!$C$12,1,1)+147)</f>
        <v/>
      </c>
      <c r="C153" s="19">
        <f>IF(B153="","",CHOOSE(WEEKDAY(B153,2),"понедельник","вторник","среда","четверг","пятница","суббота","воскресенье"))</f>
        <v/>
      </c>
      <c r="D153" s="19">
        <f>IF(B153="","",WEEKNUM(B153,21))</f>
        <v/>
      </c>
      <c r="E153" s="19">
        <f>IF(B153="","",MONTH(B153))</f>
        <v/>
      </c>
      <c r="F153" s="19">
        <f>IF(B153="","",IF(WEEKDAY(B153,2)&gt;=6,"вых","раб"))</f>
        <v/>
      </c>
      <c r="G153" s="21" t="n"/>
      <c r="H153" s="21" t="n"/>
      <c r="I153" s="21" t="n"/>
      <c r="J153" s="21" t="n"/>
      <c r="K153" s="21" t="n"/>
      <c r="L153" s="21" t="n"/>
      <c r="M153" s="22" t="n"/>
    </row>
    <row r="154">
      <c r="A154" s="19" t="n">
        <v>149</v>
      </c>
      <c r="B154" s="20">
        <f>IF(DATE(Анкета!$C$12,1,1)+148&gt;DATE(Анкета!$C$12,12,31),"",DATE(Анкета!$C$12,1,1)+148)</f>
        <v/>
      </c>
      <c r="C154" s="19">
        <f>IF(B154="","",CHOOSE(WEEKDAY(B154,2),"понедельник","вторник","среда","четверг","пятница","суббота","воскресенье"))</f>
        <v/>
      </c>
      <c r="D154" s="19">
        <f>IF(B154="","",WEEKNUM(B154,21))</f>
        <v/>
      </c>
      <c r="E154" s="19">
        <f>IF(B154="","",MONTH(B154))</f>
        <v/>
      </c>
      <c r="F154" s="19">
        <f>IF(B154="","",IF(WEEKDAY(B154,2)&gt;=6,"вых","раб"))</f>
        <v/>
      </c>
      <c r="G154" s="21" t="n"/>
      <c r="H154" s="21" t="n"/>
      <c r="I154" s="21" t="n"/>
      <c r="J154" s="21" t="n"/>
      <c r="K154" s="21" t="n"/>
      <c r="L154" s="21" t="n"/>
      <c r="M154" s="22" t="n"/>
    </row>
    <row r="155">
      <c r="A155" s="19" t="n">
        <v>150</v>
      </c>
      <c r="B155" s="20">
        <f>IF(DATE(Анкета!$C$12,1,1)+149&gt;DATE(Анкета!$C$12,12,31),"",DATE(Анкета!$C$12,1,1)+149)</f>
        <v/>
      </c>
      <c r="C155" s="19">
        <f>IF(B155="","",CHOOSE(WEEKDAY(B155,2),"понедельник","вторник","среда","четверг","пятница","суббота","воскресенье"))</f>
        <v/>
      </c>
      <c r="D155" s="19">
        <f>IF(B155="","",WEEKNUM(B155,21))</f>
        <v/>
      </c>
      <c r="E155" s="19">
        <f>IF(B155="","",MONTH(B155))</f>
        <v/>
      </c>
      <c r="F155" s="19">
        <f>IF(B155="","",IF(WEEKDAY(B155,2)&gt;=6,"вых","раб"))</f>
        <v/>
      </c>
      <c r="G155" s="21" t="n"/>
      <c r="H155" s="21" t="n"/>
      <c r="I155" s="21" t="n"/>
      <c r="J155" s="21" t="n"/>
      <c r="K155" s="21" t="n"/>
      <c r="L155" s="21" t="n"/>
      <c r="M155" s="22" t="n"/>
    </row>
    <row r="156">
      <c r="A156" s="19" t="n">
        <v>151</v>
      </c>
      <c r="B156" s="20">
        <f>IF(DATE(Анкета!$C$12,1,1)+150&gt;DATE(Анкета!$C$12,12,31),"",DATE(Анкета!$C$12,1,1)+150)</f>
        <v/>
      </c>
      <c r="C156" s="19">
        <f>IF(B156="","",CHOOSE(WEEKDAY(B156,2),"понедельник","вторник","среда","четверг","пятница","суббота","воскресенье"))</f>
        <v/>
      </c>
      <c r="D156" s="19">
        <f>IF(B156="","",WEEKNUM(B156,21))</f>
        <v/>
      </c>
      <c r="E156" s="19">
        <f>IF(B156="","",MONTH(B156))</f>
        <v/>
      </c>
      <c r="F156" s="19">
        <f>IF(B156="","",IF(WEEKDAY(B156,2)&gt;=6,"вых","раб"))</f>
        <v/>
      </c>
      <c r="G156" s="21" t="n"/>
      <c r="H156" s="21" t="n"/>
      <c r="I156" s="21" t="n"/>
      <c r="J156" s="21" t="n"/>
      <c r="K156" s="21" t="n"/>
      <c r="L156" s="21" t="n"/>
      <c r="M156" s="22" t="n"/>
    </row>
    <row r="157">
      <c r="A157" s="19" t="n">
        <v>152</v>
      </c>
      <c r="B157" s="20">
        <f>IF(DATE(Анкета!$C$12,1,1)+151&gt;DATE(Анкета!$C$12,12,31),"",DATE(Анкета!$C$12,1,1)+151)</f>
        <v/>
      </c>
      <c r="C157" s="19">
        <f>IF(B157="","",CHOOSE(WEEKDAY(B157,2),"понедельник","вторник","среда","четверг","пятница","суббота","воскресенье"))</f>
        <v/>
      </c>
      <c r="D157" s="19">
        <f>IF(B157="","",WEEKNUM(B157,21))</f>
        <v/>
      </c>
      <c r="E157" s="19">
        <f>IF(B157="","",MONTH(B157))</f>
        <v/>
      </c>
      <c r="F157" s="19">
        <f>IF(B157="","",IF(WEEKDAY(B157,2)&gt;=6,"вых","раб"))</f>
        <v/>
      </c>
      <c r="G157" s="21" t="n"/>
      <c r="H157" s="21" t="n"/>
      <c r="I157" s="21" t="n"/>
      <c r="J157" s="21" t="n"/>
      <c r="K157" s="21" t="n"/>
      <c r="L157" s="21" t="n"/>
      <c r="M157" s="22" t="n"/>
    </row>
    <row r="158">
      <c r="A158" s="19" t="n">
        <v>153</v>
      </c>
      <c r="B158" s="20">
        <f>IF(DATE(Анкета!$C$12,1,1)+152&gt;DATE(Анкета!$C$12,12,31),"",DATE(Анкета!$C$12,1,1)+152)</f>
        <v/>
      </c>
      <c r="C158" s="19">
        <f>IF(B158="","",CHOOSE(WEEKDAY(B158,2),"понедельник","вторник","среда","четверг","пятница","суббота","воскресенье"))</f>
        <v/>
      </c>
      <c r="D158" s="19">
        <f>IF(B158="","",WEEKNUM(B158,21))</f>
        <v/>
      </c>
      <c r="E158" s="19">
        <f>IF(B158="","",MONTH(B158))</f>
        <v/>
      </c>
      <c r="F158" s="19">
        <f>IF(B158="","",IF(WEEKDAY(B158,2)&gt;=6,"вых","раб"))</f>
        <v/>
      </c>
      <c r="G158" s="21" t="n"/>
      <c r="H158" s="21" t="n"/>
      <c r="I158" s="21" t="n"/>
      <c r="J158" s="21" t="n"/>
      <c r="K158" s="21" t="n"/>
      <c r="L158" s="21" t="n"/>
      <c r="M158" s="22" t="n"/>
    </row>
    <row r="159">
      <c r="A159" s="19" t="n">
        <v>154</v>
      </c>
      <c r="B159" s="20">
        <f>IF(DATE(Анкета!$C$12,1,1)+153&gt;DATE(Анкета!$C$12,12,31),"",DATE(Анкета!$C$12,1,1)+153)</f>
        <v/>
      </c>
      <c r="C159" s="19">
        <f>IF(B159="","",CHOOSE(WEEKDAY(B159,2),"понедельник","вторник","среда","четверг","пятница","суббота","воскресенье"))</f>
        <v/>
      </c>
      <c r="D159" s="19">
        <f>IF(B159="","",WEEKNUM(B159,21))</f>
        <v/>
      </c>
      <c r="E159" s="19">
        <f>IF(B159="","",MONTH(B159))</f>
        <v/>
      </c>
      <c r="F159" s="19">
        <f>IF(B159="","",IF(WEEKDAY(B159,2)&gt;=6,"вых","раб"))</f>
        <v/>
      </c>
      <c r="G159" s="21" t="n"/>
      <c r="H159" s="21" t="n"/>
      <c r="I159" s="21" t="n"/>
      <c r="J159" s="21" t="n"/>
      <c r="K159" s="21" t="n"/>
      <c r="L159" s="21" t="n"/>
      <c r="M159" s="22" t="n"/>
    </row>
    <row r="160">
      <c r="A160" s="19" t="n">
        <v>155</v>
      </c>
      <c r="B160" s="20">
        <f>IF(DATE(Анкета!$C$12,1,1)+154&gt;DATE(Анкета!$C$12,12,31),"",DATE(Анкета!$C$12,1,1)+154)</f>
        <v/>
      </c>
      <c r="C160" s="19">
        <f>IF(B160="","",CHOOSE(WEEKDAY(B160,2),"понедельник","вторник","среда","четверг","пятница","суббота","воскресенье"))</f>
        <v/>
      </c>
      <c r="D160" s="19">
        <f>IF(B160="","",WEEKNUM(B160,21))</f>
        <v/>
      </c>
      <c r="E160" s="19">
        <f>IF(B160="","",MONTH(B160))</f>
        <v/>
      </c>
      <c r="F160" s="19">
        <f>IF(B160="","",IF(WEEKDAY(B160,2)&gt;=6,"вых","раб"))</f>
        <v/>
      </c>
      <c r="G160" s="21" t="n"/>
      <c r="H160" s="21" t="n"/>
      <c r="I160" s="21" t="n"/>
      <c r="J160" s="21" t="n"/>
      <c r="K160" s="21" t="n"/>
      <c r="L160" s="21" t="n"/>
      <c r="M160" s="22" t="n"/>
    </row>
    <row r="161">
      <c r="A161" s="19" t="n">
        <v>156</v>
      </c>
      <c r="B161" s="20">
        <f>IF(DATE(Анкета!$C$12,1,1)+155&gt;DATE(Анкета!$C$12,12,31),"",DATE(Анкета!$C$12,1,1)+155)</f>
        <v/>
      </c>
      <c r="C161" s="19">
        <f>IF(B161="","",CHOOSE(WEEKDAY(B161,2),"понедельник","вторник","среда","четверг","пятница","суббота","воскресенье"))</f>
        <v/>
      </c>
      <c r="D161" s="19">
        <f>IF(B161="","",WEEKNUM(B161,21))</f>
        <v/>
      </c>
      <c r="E161" s="19">
        <f>IF(B161="","",MONTH(B161))</f>
        <v/>
      </c>
      <c r="F161" s="19">
        <f>IF(B161="","",IF(WEEKDAY(B161,2)&gt;=6,"вых","раб"))</f>
        <v/>
      </c>
      <c r="G161" s="21" t="n"/>
      <c r="H161" s="21" t="n"/>
      <c r="I161" s="21" t="n"/>
      <c r="J161" s="21" t="n"/>
      <c r="K161" s="21" t="n"/>
      <c r="L161" s="21" t="n"/>
      <c r="M161" s="22" t="n"/>
    </row>
    <row r="162">
      <c r="A162" s="19" t="n">
        <v>157</v>
      </c>
      <c r="B162" s="20">
        <f>IF(DATE(Анкета!$C$12,1,1)+156&gt;DATE(Анкета!$C$12,12,31),"",DATE(Анкета!$C$12,1,1)+156)</f>
        <v/>
      </c>
      <c r="C162" s="19">
        <f>IF(B162="","",CHOOSE(WEEKDAY(B162,2),"понедельник","вторник","среда","четверг","пятница","суббота","воскресенье"))</f>
        <v/>
      </c>
      <c r="D162" s="19">
        <f>IF(B162="","",WEEKNUM(B162,21))</f>
        <v/>
      </c>
      <c r="E162" s="19">
        <f>IF(B162="","",MONTH(B162))</f>
        <v/>
      </c>
      <c r="F162" s="19">
        <f>IF(B162="","",IF(WEEKDAY(B162,2)&gt;=6,"вых","раб"))</f>
        <v/>
      </c>
      <c r="G162" s="21" t="n"/>
      <c r="H162" s="21" t="n"/>
      <c r="I162" s="21" t="n"/>
      <c r="J162" s="21" t="n"/>
      <c r="K162" s="21" t="n"/>
      <c r="L162" s="21" t="n"/>
      <c r="M162" s="22" t="n"/>
    </row>
    <row r="163">
      <c r="A163" s="19" t="n">
        <v>158</v>
      </c>
      <c r="B163" s="20">
        <f>IF(DATE(Анкета!$C$12,1,1)+157&gt;DATE(Анкета!$C$12,12,31),"",DATE(Анкета!$C$12,1,1)+157)</f>
        <v/>
      </c>
      <c r="C163" s="19">
        <f>IF(B163="","",CHOOSE(WEEKDAY(B163,2),"понедельник","вторник","среда","четверг","пятница","суббота","воскресенье"))</f>
        <v/>
      </c>
      <c r="D163" s="19">
        <f>IF(B163="","",WEEKNUM(B163,21))</f>
        <v/>
      </c>
      <c r="E163" s="19">
        <f>IF(B163="","",MONTH(B163))</f>
        <v/>
      </c>
      <c r="F163" s="19">
        <f>IF(B163="","",IF(WEEKDAY(B163,2)&gt;=6,"вых","раб"))</f>
        <v/>
      </c>
      <c r="G163" s="21" t="n"/>
      <c r="H163" s="21" t="n"/>
      <c r="I163" s="21" t="n"/>
      <c r="J163" s="21" t="n"/>
      <c r="K163" s="21" t="n"/>
      <c r="L163" s="21" t="n"/>
      <c r="M163" s="22" t="n"/>
    </row>
    <row r="164">
      <c r="A164" s="19" t="n">
        <v>159</v>
      </c>
      <c r="B164" s="20">
        <f>IF(DATE(Анкета!$C$12,1,1)+158&gt;DATE(Анкета!$C$12,12,31),"",DATE(Анкета!$C$12,1,1)+158)</f>
        <v/>
      </c>
      <c r="C164" s="19">
        <f>IF(B164="","",CHOOSE(WEEKDAY(B164,2),"понедельник","вторник","среда","четверг","пятница","суббота","воскресенье"))</f>
        <v/>
      </c>
      <c r="D164" s="19">
        <f>IF(B164="","",WEEKNUM(B164,21))</f>
        <v/>
      </c>
      <c r="E164" s="19">
        <f>IF(B164="","",MONTH(B164))</f>
        <v/>
      </c>
      <c r="F164" s="19">
        <f>IF(B164="","",IF(WEEKDAY(B164,2)&gt;=6,"вых","раб"))</f>
        <v/>
      </c>
      <c r="G164" s="21" t="n"/>
      <c r="H164" s="21" t="n"/>
      <c r="I164" s="21" t="n"/>
      <c r="J164" s="21" t="n"/>
      <c r="K164" s="21" t="n"/>
      <c r="L164" s="21" t="n"/>
      <c r="M164" s="22" t="n"/>
    </row>
    <row r="165">
      <c r="A165" s="19" t="n">
        <v>160</v>
      </c>
      <c r="B165" s="20">
        <f>IF(DATE(Анкета!$C$12,1,1)+159&gt;DATE(Анкета!$C$12,12,31),"",DATE(Анкета!$C$12,1,1)+159)</f>
        <v/>
      </c>
      <c r="C165" s="19">
        <f>IF(B165="","",CHOOSE(WEEKDAY(B165,2),"понедельник","вторник","среда","четверг","пятница","суббота","воскресенье"))</f>
        <v/>
      </c>
      <c r="D165" s="19">
        <f>IF(B165="","",WEEKNUM(B165,21))</f>
        <v/>
      </c>
      <c r="E165" s="19">
        <f>IF(B165="","",MONTH(B165))</f>
        <v/>
      </c>
      <c r="F165" s="19">
        <f>IF(B165="","",IF(WEEKDAY(B165,2)&gt;=6,"вых","раб"))</f>
        <v/>
      </c>
      <c r="G165" s="21" t="n"/>
      <c r="H165" s="21" t="n"/>
      <c r="I165" s="21" t="n"/>
      <c r="J165" s="21" t="n"/>
      <c r="K165" s="21" t="n"/>
      <c r="L165" s="21" t="n"/>
      <c r="M165" s="22" t="n"/>
    </row>
    <row r="166">
      <c r="A166" s="19" t="n">
        <v>161</v>
      </c>
      <c r="B166" s="20">
        <f>IF(DATE(Анкета!$C$12,1,1)+160&gt;DATE(Анкета!$C$12,12,31),"",DATE(Анкета!$C$12,1,1)+160)</f>
        <v/>
      </c>
      <c r="C166" s="19">
        <f>IF(B166="","",CHOOSE(WEEKDAY(B166,2),"понедельник","вторник","среда","четверг","пятница","суббота","воскресенье"))</f>
        <v/>
      </c>
      <c r="D166" s="19">
        <f>IF(B166="","",WEEKNUM(B166,21))</f>
        <v/>
      </c>
      <c r="E166" s="19">
        <f>IF(B166="","",MONTH(B166))</f>
        <v/>
      </c>
      <c r="F166" s="19">
        <f>IF(B166="","",IF(WEEKDAY(B166,2)&gt;=6,"вых","раб"))</f>
        <v/>
      </c>
      <c r="G166" s="21" t="n"/>
      <c r="H166" s="21" t="n"/>
      <c r="I166" s="21" t="n"/>
      <c r="J166" s="21" t="n"/>
      <c r="K166" s="21" t="n"/>
      <c r="L166" s="21" t="n"/>
      <c r="M166" s="22" t="n"/>
    </row>
    <row r="167">
      <c r="A167" s="19" t="n">
        <v>162</v>
      </c>
      <c r="B167" s="20">
        <f>IF(DATE(Анкета!$C$12,1,1)+161&gt;DATE(Анкета!$C$12,12,31),"",DATE(Анкета!$C$12,1,1)+161)</f>
        <v/>
      </c>
      <c r="C167" s="19">
        <f>IF(B167="","",CHOOSE(WEEKDAY(B167,2),"понедельник","вторник","среда","четверг","пятница","суббота","воскресенье"))</f>
        <v/>
      </c>
      <c r="D167" s="19">
        <f>IF(B167="","",WEEKNUM(B167,21))</f>
        <v/>
      </c>
      <c r="E167" s="19">
        <f>IF(B167="","",MONTH(B167))</f>
        <v/>
      </c>
      <c r="F167" s="19">
        <f>IF(B167="","",IF(WEEKDAY(B167,2)&gt;=6,"вых","раб"))</f>
        <v/>
      </c>
      <c r="G167" s="21" t="n"/>
      <c r="H167" s="21" t="n"/>
      <c r="I167" s="21" t="n"/>
      <c r="J167" s="21" t="n"/>
      <c r="K167" s="21" t="n"/>
      <c r="L167" s="21" t="n"/>
      <c r="M167" s="22" t="n"/>
    </row>
    <row r="168">
      <c r="A168" s="19" t="n">
        <v>163</v>
      </c>
      <c r="B168" s="20">
        <f>IF(DATE(Анкета!$C$12,1,1)+162&gt;DATE(Анкета!$C$12,12,31),"",DATE(Анкета!$C$12,1,1)+162)</f>
        <v/>
      </c>
      <c r="C168" s="19">
        <f>IF(B168="","",CHOOSE(WEEKDAY(B168,2),"понедельник","вторник","среда","четверг","пятница","суббота","воскресенье"))</f>
        <v/>
      </c>
      <c r="D168" s="19">
        <f>IF(B168="","",WEEKNUM(B168,21))</f>
        <v/>
      </c>
      <c r="E168" s="19">
        <f>IF(B168="","",MONTH(B168))</f>
        <v/>
      </c>
      <c r="F168" s="19">
        <f>IF(B168="","",IF(WEEKDAY(B168,2)&gt;=6,"вых","раб"))</f>
        <v/>
      </c>
      <c r="G168" s="21" t="n"/>
      <c r="H168" s="21" t="n"/>
      <c r="I168" s="21" t="n"/>
      <c r="J168" s="21" t="n"/>
      <c r="K168" s="21" t="n"/>
      <c r="L168" s="21" t="n"/>
      <c r="M168" s="22" t="n"/>
    </row>
    <row r="169">
      <c r="A169" s="19" t="n">
        <v>164</v>
      </c>
      <c r="B169" s="20">
        <f>IF(DATE(Анкета!$C$12,1,1)+163&gt;DATE(Анкета!$C$12,12,31),"",DATE(Анкета!$C$12,1,1)+163)</f>
        <v/>
      </c>
      <c r="C169" s="19">
        <f>IF(B169="","",CHOOSE(WEEKDAY(B169,2),"понедельник","вторник","среда","четверг","пятница","суббота","воскресенье"))</f>
        <v/>
      </c>
      <c r="D169" s="19">
        <f>IF(B169="","",WEEKNUM(B169,21))</f>
        <v/>
      </c>
      <c r="E169" s="19">
        <f>IF(B169="","",MONTH(B169))</f>
        <v/>
      </c>
      <c r="F169" s="19">
        <f>IF(B169="","",IF(WEEKDAY(B169,2)&gt;=6,"вых","раб"))</f>
        <v/>
      </c>
      <c r="G169" s="21" t="n"/>
      <c r="H169" s="21" t="n"/>
      <c r="I169" s="21" t="n"/>
      <c r="J169" s="21" t="n"/>
      <c r="K169" s="21" t="n"/>
      <c r="L169" s="21" t="n"/>
      <c r="M169" s="22" t="n"/>
    </row>
    <row r="170">
      <c r="A170" s="19" t="n">
        <v>165</v>
      </c>
      <c r="B170" s="20">
        <f>IF(DATE(Анкета!$C$12,1,1)+164&gt;DATE(Анкета!$C$12,12,31),"",DATE(Анкета!$C$12,1,1)+164)</f>
        <v/>
      </c>
      <c r="C170" s="19">
        <f>IF(B170="","",CHOOSE(WEEKDAY(B170,2),"понедельник","вторник","среда","четверг","пятница","суббота","воскресенье"))</f>
        <v/>
      </c>
      <c r="D170" s="19">
        <f>IF(B170="","",WEEKNUM(B170,21))</f>
        <v/>
      </c>
      <c r="E170" s="19">
        <f>IF(B170="","",MONTH(B170))</f>
        <v/>
      </c>
      <c r="F170" s="19">
        <f>IF(B170="","",IF(WEEKDAY(B170,2)&gt;=6,"вых","раб"))</f>
        <v/>
      </c>
      <c r="G170" s="21" t="n"/>
      <c r="H170" s="21" t="n"/>
      <c r="I170" s="21" t="n"/>
      <c r="J170" s="21" t="n"/>
      <c r="K170" s="21" t="n"/>
      <c r="L170" s="21" t="n"/>
      <c r="M170" s="22" t="n"/>
    </row>
    <row r="171">
      <c r="A171" s="19" t="n">
        <v>166</v>
      </c>
      <c r="B171" s="20">
        <f>IF(DATE(Анкета!$C$12,1,1)+165&gt;DATE(Анкета!$C$12,12,31),"",DATE(Анкета!$C$12,1,1)+165)</f>
        <v/>
      </c>
      <c r="C171" s="19">
        <f>IF(B171="","",CHOOSE(WEEKDAY(B171,2),"понедельник","вторник","среда","четверг","пятница","суббота","воскресенье"))</f>
        <v/>
      </c>
      <c r="D171" s="19">
        <f>IF(B171="","",WEEKNUM(B171,21))</f>
        <v/>
      </c>
      <c r="E171" s="19">
        <f>IF(B171="","",MONTH(B171))</f>
        <v/>
      </c>
      <c r="F171" s="19">
        <f>IF(B171="","",IF(WEEKDAY(B171,2)&gt;=6,"вых","раб"))</f>
        <v/>
      </c>
      <c r="G171" s="21" t="n"/>
      <c r="H171" s="21" t="n"/>
      <c r="I171" s="21" t="n"/>
      <c r="J171" s="21" t="n"/>
      <c r="K171" s="21" t="n"/>
      <c r="L171" s="21" t="n"/>
      <c r="M171" s="22" t="n"/>
    </row>
    <row r="172">
      <c r="A172" s="19" t="n">
        <v>167</v>
      </c>
      <c r="B172" s="20">
        <f>IF(DATE(Анкета!$C$12,1,1)+166&gt;DATE(Анкета!$C$12,12,31),"",DATE(Анкета!$C$12,1,1)+166)</f>
        <v/>
      </c>
      <c r="C172" s="19">
        <f>IF(B172="","",CHOOSE(WEEKDAY(B172,2),"понедельник","вторник","среда","четверг","пятница","суббота","воскресенье"))</f>
        <v/>
      </c>
      <c r="D172" s="19">
        <f>IF(B172="","",WEEKNUM(B172,21))</f>
        <v/>
      </c>
      <c r="E172" s="19">
        <f>IF(B172="","",MONTH(B172))</f>
        <v/>
      </c>
      <c r="F172" s="19">
        <f>IF(B172="","",IF(WEEKDAY(B172,2)&gt;=6,"вых","раб"))</f>
        <v/>
      </c>
      <c r="G172" s="21" t="n"/>
      <c r="H172" s="21" t="n"/>
      <c r="I172" s="21" t="n"/>
      <c r="J172" s="21" t="n"/>
      <c r="K172" s="21" t="n"/>
      <c r="L172" s="21" t="n"/>
      <c r="M172" s="22" t="n"/>
    </row>
    <row r="173">
      <c r="A173" s="19" t="n">
        <v>168</v>
      </c>
      <c r="B173" s="20">
        <f>IF(DATE(Анкета!$C$12,1,1)+167&gt;DATE(Анкета!$C$12,12,31),"",DATE(Анкета!$C$12,1,1)+167)</f>
        <v/>
      </c>
      <c r="C173" s="19">
        <f>IF(B173="","",CHOOSE(WEEKDAY(B173,2),"понедельник","вторник","среда","четверг","пятница","суббота","воскресенье"))</f>
        <v/>
      </c>
      <c r="D173" s="19">
        <f>IF(B173="","",WEEKNUM(B173,21))</f>
        <v/>
      </c>
      <c r="E173" s="19">
        <f>IF(B173="","",MONTH(B173))</f>
        <v/>
      </c>
      <c r="F173" s="19">
        <f>IF(B173="","",IF(WEEKDAY(B173,2)&gt;=6,"вых","раб"))</f>
        <v/>
      </c>
      <c r="G173" s="21" t="n"/>
      <c r="H173" s="21" t="n"/>
      <c r="I173" s="21" t="n"/>
      <c r="J173" s="21" t="n"/>
      <c r="K173" s="21" t="n"/>
      <c r="L173" s="21" t="n"/>
      <c r="M173" s="22" t="n"/>
    </row>
    <row r="174">
      <c r="A174" s="19" t="n">
        <v>169</v>
      </c>
      <c r="B174" s="20">
        <f>IF(DATE(Анкета!$C$12,1,1)+168&gt;DATE(Анкета!$C$12,12,31),"",DATE(Анкета!$C$12,1,1)+168)</f>
        <v/>
      </c>
      <c r="C174" s="19">
        <f>IF(B174="","",CHOOSE(WEEKDAY(B174,2),"понедельник","вторник","среда","четверг","пятница","суббота","воскресенье"))</f>
        <v/>
      </c>
      <c r="D174" s="19">
        <f>IF(B174="","",WEEKNUM(B174,21))</f>
        <v/>
      </c>
      <c r="E174" s="19">
        <f>IF(B174="","",MONTH(B174))</f>
        <v/>
      </c>
      <c r="F174" s="19">
        <f>IF(B174="","",IF(WEEKDAY(B174,2)&gt;=6,"вых","раб"))</f>
        <v/>
      </c>
      <c r="G174" s="21" t="n"/>
      <c r="H174" s="21" t="n"/>
      <c r="I174" s="21" t="n"/>
      <c r="J174" s="21" t="n"/>
      <c r="K174" s="21" t="n"/>
      <c r="L174" s="21" t="n"/>
      <c r="M174" s="22" t="n"/>
    </row>
    <row r="175">
      <c r="A175" s="19" t="n">
        <v>170</v>
      </c>
      <c r="B175" s="20">
        <f>IF(DATE(Анкета!$C$12,1,1)+169&gt;DATE(Анкета!$C$12,12,31),"",DATE(Анкета!$C$12,1,1)+169)</f>
        <v/>
      </c>
      <c r="C175" s="19">
        <f>IF(B175="","",CHOOSE(WEEKDAY(B175,2),"понедельник","вторник","среда","четверг","пятница","суббота","воскресенье"))</f>
        <v/>
      </c>
      <c r="D175" s="19">
        <f>IF(B175="","",WEEKNUM(B175,21))</f>
        <v/>
      </c>
      <c r="E175" s="19">
        <f>IF(B175="","",MONTH(B175))</f>
        <v/>
      </c>
      <c r="F175" s="19">
        <f>IF(B175="","",IF(WEEKDAY(B175,2)&gt;=6,"вых","раб"))</f>
        <v/>
      </c>
      <c r="G175" s="21" t="n"/>
      <c r="H175" s="21" t="n"/>
      <c r="I175" s="21" t="n"/>
      <c r="J175" s="21" t="n"/>
      <c r="K175" s="21" t="n"/>
      <c r="L175" s="21" t="n"/>
      <c r="M175" s="22" t="n"/>
    </row>
    <row r="176">
      <c r="A176" s="19" t="n">
        <v>171</v>
      </c>
      <c r="B176" s="20">
        <f>IF(DATE(Анкета!$C$12,1,1)+170&gt;DATE(Анкета!$C$12,12,31),"",DATE(Анкета!$C$12,1,1)+170)</f>
        <v/>
      </c>
      <c r="C176" s="19">
        <f>IF(B176="","",CHOOSE(WEEKDAY(B176,2),"понедельник","вторник","среда","четверг","пятница","суббота","воскресенье"))</f>
        <v/>
      </c>
      <c r="D176" s="19">
        <f>IF(B176="","",WEEKNUM(B176,21))</f>
        <v/>
      </c>
      <c r="E176" s="19">
        <f>IF(B176="","",MONTH(B176))</f>
        <v/>
      </c>
      <c r="F176" s="19">
        <f>IF(B176="","",IF(WEEKDAY(B176,2)&gt;=6,"вых","раб"))</f>
        <v/>
      </c>
      <c r="G176" s="21" t="n"/>
      <c r="H176" s="21" t="n"/>
      <c r="I176" s="21" t="n"/>
      <c r="J176" s="21" t="n"/>
      <c r="K176" s="21" t="n"/>
      <c r="L176" s="21" t="n"/>
      <c r="M176" s="22" t="n"/>
    </row>
    <row r="177">
      <c r="A177" s="19" t="n">
        <v>172</v>
      </c>
      <c r="B177" s="20">
        <f>IF(DATE(Анкета!$C$12,1,1)+171&gt;DATE(Анкета!$C$12,12,31),"",DATE(Анкета!$C$12,1,1)+171)</f>
        <v/>
      </c>
      <c r="C177" s="19">
        <f>IF(B177="","",CHOOSE(WEEKDAY(B177,2),"понедельник","вторник","среда","четверг","пятница","суббота","воскресенье"))</f>
        <v/>
      </c>
      <c r="D177" s="19">
        <f>IF(B177="","",WEEKNUM(B177,21))</f>
        <v/>
      </c>
      <c r="E177" s="19">
        <f>IF(B177="","",MONTH(B177))</f>
        <v/>
      </c>
      <c r="F177" s="19">
        <f>IF(B177="","",IF(WEEKDAY(B177,2)&gt;=6,"вых","раб"))</f>
        <v/>
      </c>
      <c r="G177" s="21" t="n"/>
      <c r="H177" s="21" t="n"/>
      <c r="I177" s="21" t="n"/>
      <c r="J177" s="21" t="n"/>
      <c r="K177" s="21" t="n"/>
      <c r="L177" s="21" t="n"/>
      <c r="M177" s="22" t="n"/>
    </row>
    <row r="178">
      <c r="A178" s="19" t="n">
        <v>173</v>
      </c>
      <c r="B178" s="20">
        <f>IF(DATE(Анкета!$C$12,1,1)+172&gt;DATE(Анкета!$C$12,12,31),"",DATE(Анкета!$C$12,1,1)+172)</f>
        <v/>
      </c>
      <c r="C178" s="19">
        <f>IF(B178="","",CHOOSE(WEEKDAY(B178,2),"понедельник","вторник","среда","четверг","пятница","суббота","воскресенье"))</f>
        <v/>
      </c>
      <c r="D178" s="19">
        <f>IF(B178="","",WEEKNUM(B178,21))</f>
        <v/>
      </c>
      <c r="E178" s="19">
        <f>IF(B178="","",MONTH(B178))</f>
        <v/>
      </c>
      <c r="F178" s="19">
        <f>IF(B178="","",IF(WEEKDAY(B178,2)&gt;=6,"вых","раб"))</f>
        <v/>
      </c>
      <c r="G178" s="21" t="n"/>
      <c r="H178" s="21" t="n"/>
      <c r="I178" s="21" t="n"/>
      <c r="J178" s="21" t="n"/>
      <c r="K178" s="21" t="n"/>
      <c r="L178" s="21" t="n"/>
      <c r="M178" s="22" t="n"/>
    </row>
    <row r="179">
      <c r="A179" s="19" t="n">
        <v>174</v>
      </c>
      <c r="B179" s="20">
        <f>IF(DATE(Анкета!$C$12,1,1)+173&gt;DATE(Анкета!$C$12,12,31),"",DATE(Анкета!$C$12,1,1)+173)</f>
        <v/>
      </c>
      <c r="C179" s="19">
        <f>IF(B179="","",CHOOSE(WEEKDAY(B179,2),"понедельник","вторник","среда","четверг","пятница","суббота","воскресенье"))</f>
        <v/>
      </c>
      <c r="D179" s="19">
        <f>IF(B179="","",WEEKNUM(B179,21))</f>
        <v/>
      </c>
      <c r="E179" s="19">
        <f>IF(B179="","",MONTH(B179))</f>
        <v/>
      </c>
      <c r="F179" s="19">
        <f>IF(B179="","",IF(WEEKDAY(B179,2)&gt;=6,"вых","раб"))</f>
        <v/>
      </c>
      <c r="G179" s="21" t="n"/>
      <c r="H179" s="21" t="n"/>
      <c r="I179" s="21" t="n"/>
      <c r="J179" s="21" t="n"/>
      <c r="K179" s="21" t="n"/>
      <c r="L179" s="21" t="n"/>
      <c r="M179" s="22" t="n"/>
    </row>
    <row r="180">
      <c r="A180" s="19" t="n">
        <v>175</v>
      </c>
      <c r="B180" s="20">
        <f>IF(DATE(Анкета!$C$12,1,1)+174&gt;DATE(Анкета!$C$12,12,31),"",DATE(Анкета!$C$12,1,1)+174)</f>
        <v/>
      </c>
      <c r="C180" s="19">
        <f>IF(B180="","",CHOOSE(WEEKDAY(B180,2),"понедельник","вторник","среда","четверг","пятница","суббота","воскресенье"))</f>
        <v/>
      </c>
      <c r="D180" s="19">
        <f>IF(B180="","",WEEKNUM(B180,21))</f>
        <v/>
      </c>
      <c r="E180" s="19">
        <f>IF(B180="","",MONTH(B180))</f>
        <v/>
      </c>
      <c r="F180" s="19">
        <f>IF(B180="","",IF(WEEKDAY(B180,2)&gt;=6,"вых","раб"))</f>
        <v/>
      </c>
      <c r="G180" s="21" t="n"/>
      <c r="H180" s="21" t="n"/>
      <c r="I180" s="21" t="n"/>
      <c r="J180" s="21" t="n"/>
      <c r="K180" s="21" t="n"/>
      <c r="L180" s="21" t="n"/>
      <c r="M180" s="22" t="n"/>
    </row>
    <row r="181">
      <c r="A181" s="19" t="n">
        <v>176</v>
      </c>
      <c r="B181" s="20">
        <f>IF(DATE(Анкета!$C$12,1,1)+175&gt;DATE(Анкета!$C$12,12,31),"",DATE(Анкета!$C$12,1,1)+175)</f>
        <v/>
      </c>
      <c r="C181" s="19">
        <f>IF(B181="","",CHOOSE(WEEKDAY(B181,2),"понедельник","вторник","среда","четверг","пятница","суббота","воскресенье"))</f>
        <v/>
      </c>
      <c r="D181" s="19">
        <f>IF(B181="","",WEEKNUM(B181,21))</f>
        <v/>
      </c>
      <c r="E181" s="19">
        <f>IF(B181="","",MONTH(B181))</f>
        <v/>
      </c>
      <c r="F181" s="19">
        <f>IF(B181="","",IF(WEEKDAY(B181,2)&gt;=6,"вых","раб"))</f>
        <v/>
      </c>
      <c r="G181" s="21" t="n"/>
      <c r="H181" s="21" t="n"/>
      <c r="I181" s="21" t="n"/>
      <c r="J181" s="21" t="n"/>
      <c r="K181" s="21" t="n"/>
      <c r="L181" s="21" t="n"/>
      <c r="M181" s="22" t="n"/>
    </row>
    <row r="182">
      <c r="A182" s="19" t="n">
        <v>177</v>
      </c>
      <c r="B182" s="20">
        <f>IF(DATE(Анкета!$C$12,1,1)+176&gt;DATE(Анкета!$C$12,12,31),"",DATE(Анкета!$C$12,1,1)+176)</f>
        <v/>
      </c>
      <c r="C182" s="19">
        <f>IF(B182="","",CHOOSE(WEEKDAY(B182,2),"понедельник","вторник","среда","четверг","пятница","суббота","воскресенье"))</f>
        <v/>
      </c>
      <c r="D182" s="19">
        <f>IF(B182="","",WEEKNUM(B182,21))</f>
        <v/>
      </c>
      <c r="E182" s="19">
        <f>IF(B182="","",MONTH(B182))</f>
        <v/>
      </c>
      <c r="F182" s="19">
        <f>IF(B182="","",IF(WEEKDAY(B182,2)&gt;=6,"вых","раб"))</f>
        <v/>
      </c>
      <c r="G182" s="21" t="n"/>
      <c r="H182" s="21" t="n"/>
      <c r="I182" s="21" t="n"/>
      <c r="J182" s="21" t="n"/>
      <c r="K182" s="21" t="n"/>
      <c r="L182" s="21" t="n"/>
      <c r="M182" s="22" t="n"/>
    </row>
    <row r="183">
      <c r="A183" s="19" t="n">
        <v>178</v>
      </c>
      <c r="B183" s="20">
        <f>IF(DATE(Анкета!$C$12,1,1)+177&gt;DATE(Анкета!$C$12,12,31),"",DATE(Анкета!$C$12,1,1)+177)</f>
        <v/>
      </c>
      <c r="C183" s="19">
        <f>IF(B183="","",CHOOSE(WEEKDAY(B183,2),"понедельник","вторник","среда","четверг","пятница","суббота","воскресенье"))</f>
        <v/>
      </c>
      <c r="D183" s="19">
        <f>IF(B183="","",WEEKNUM(B183,21))</f>
        <v/>
      </c>
      <c r="E183" s="19">
        <f>IF(B183="","",MONTH(B183))</f>
        <v/>
      </c>
      <c r="F183" s="19">
        <f>IF(B183="","",IF(WEEKDAY(B183,2)&gt;=6,"вых","раб"))</f>
        <v/>
      </c>
      <c r="G183" s="21" t="n"/>
      <c r="H183" s="21" t="n"/>
      <c r="I183" s="21" t="n"/>
      <c r="J183" s="21" t="n"/>
      <c r="K183" s="21" t="n"/>
      <c r="L183" s="21" t="n"/>
      <c r="M183" s="22" t="n"/>
    </row>
    <row r="184">
      <c r="A184" s="19" t="n">
        <v>179</v>
      </c>
      <c r="B184" s="20">
        <f>IF(DATE(Анкета!$C$12,1,1)+178&gt;DATE(Анкета!$C$12,12,31),"",DATE(Анкета!$C$12,1,1)+178)</f>
        <v/>
      </c>
      <c r="C184" s="19">
        <f>IF(B184="","",CHOOSE(WEEKDAY(B184,2),"понедельник","вторник","среда","четверг","пятница","суббота","воскресенье"))</f>
        <v/>
      </c>
      <c r="D184" s="19">
        <f>IF(B184="","",WEEKNUM(B184,21))</f>
        <v/>
      </c>
      <c r="E184" s="19">
        <f>IF(B184="","",MONTH(B184))</f>
        <v/>
      </c>
      <c r="F184" s="19">
        <f>IF(B184="","",IF(WEEKDAY(B184,2)&gt;=6,"вых","раб"))</f>
        <v/>
      </c>
      <c r="G184" s="21" t="n"/>
      <c r="H184" s="21" t="n"/>
      <c r="I184" s="21" t="n"/>
      <c r="J184" s="21" t="n"/>
      <c r="K184" s="21" t="n"/>
      <c r="L184" s="21" t="n"/>
      <c r="M184" s="22" t="n"/>
    </row>
    <row r="185">
      <c r="A185" s="19" t="n">
        <v>180</v>
      </c>
      <c r="B185" s="20">
        <f>IF(DATE(Анкета!$C$12,1,1)+179&gt;DATE(Анкета!$C$12,12,31),"",DATE(Анкета!$C$12,1,1)+179)</f>
        <v/>
      </c>
      <c r="C185" s="19">
        <f>IF(B185="","",CHOOSE(WEEKDAY(B185,2),"понедельник","вторник","среда","четверг","пятница","суббота","воскресенье"))</f>
        <v/>
      </c>
      <c r="D185" s="19">
        <f>IF(B185="","",WEEKNUM(B185,21))</f>
        <v/>
      </c>
      <c r="E185" s="19">
        <f>IF(B185="","",MONTH(B185))</f>
        <v/>
      </c>
      <c r="F185" s="19">
        <f>IF(B185="","",IF(WEEKDAY(B185,2)&gt;=6,"вых","раб"))</f>
        <v/>
      </c>
      <c r="G185" s="21" t="n"/>
      <c r="H185" s="21" t="n"/>
      <c r="I185" s="21" t="n"/>
      <c r="J185" s="21" t="n"/>
      <c r="K185" s="21" t="n"/>
      <c r="L185" s="21" t="n"/>
      <c r="M185" s="22" t="n"/>
    </row>
    <row r="186">
      <c r="A186" s="19" t="n">
        <v>181</v>
      </c>
      <c r="B186" s="20">
        <f>IF(DATE(Анкета!$C$12,1,1)+180&gt;DATE(Анкета!$C$12,12,31),"",DATE(Анкета!$C$12,1,1)+180)</f>
        <v/>
      </c>
      <c r="C186" s="19">
        <f>IF(B186="","",CHOOSE(WEEKDAY(B186,2),"понедельник","вторник","среда","четверг","пятница","суббота","воскресенье"))</f>
        <v/>
      </c>
      <c r="D186" s="19">
        <f>IF(B186="","",WEEKNUM(B186,21))</f>
        <v/>
      </c>
      <c r="E186" s="19">
        <f>IF(B186="","",MONTH(B186))</f>
        <v/>
      </c>
      <c r="F186" s="19">
        <f>IF(B186="","",IF(WEEKDAY(B186,2)&gt;=6,"вых","раб"))</f>
        <v/>
      </c>
      <c r="G186" s="21" t="n"/>
      <c r="H186" s="21" t="n"/>
      <c r="I186" s="21" t="n"/>
      <c r="J186" s="21" t="n"/>
      <c r="K186" s="21" t="n"/>
      <c r="L186" s="21" t="n"/>
      <c r="M186" s="22" t="n"/>
    </row>
    <row r="187">
      <c r="A187" s="19" t="n">
        <v>182</v>
      </c>
      <c r="B187" s="20">
        <f>IF(DATE(Анкета!$C$12,1,1)+181&gt;DATE(Анкета!$C$12,12,31),"",DATE(Анкета!$C$12,1,1)+181)</f>
        <v/>
      </c>
      <c r="C187" s="19">
        <f>IF(B187="","",CHOOSE(WEEKDAY(B187,2),"понедельник","вторник","среда","четверг","пятница","суббота","воскресенье"))</f>
        <v/>
      </c>
      <c r="D187" s="19">
        <f>IF(B187="","",WEEKNUM(B187,21))</f>
        <v/>
      </c>
      <c r="E187" s="19">
        <f>IF(B187="","",MONTH(B187))</f>
        <v/>
      </c>
      <c r="F187" s="19">
        <f>IF(B187="","",IF(WEEKDAY(B187,2)&gt;=6,"вых","раб"))</f>
        <v/>
      </c>
      <c r="G187" s="21" t="n"/>
      <c r="H187" s="21" t="n"/>
      <c r="I187" s="21" t="n"/>
      <c r="J187" s="21" t="n"/>
      <c r="K187" s="21" t="n"/>
      <c r="L187" s="21" t="n"/>
      <c r="M187" s="22" t="n"/>
    </row>
    <row r="188">
      <c r="A188" s="19" t="n">
        <v>183</v>
      </c>
      <c r="B188" s="20">
        <f>IF(DATE(Анкета!$C$12,1,1)+182&gt;DATE(Анкета!$C$12,12,31),"",DATE(Анкета!$C$12,1,1)+182)</f>
        <v/>
      </c>
      <c r="C188" s="19">
        <f>IF(B188="","",CHOOSE(WEEKDAY(B188,2),"понедельник","вторник","среда","четверг","пятница","суббота","воскресенье"))</f>
        <v/>
      </c>
      <c r="D188" s="19">
        <f>IF(B188="","",WEEKNUM(B188,21))</f>
        <v/>
      </c>
      <c r="E188" s="19">
        <f>IF(B188="","",MONTH(B188))</f>
        <v/>
      </c>
      <c r="F188" s="19">
        <f>IF(B188="","",IF(WEEKDAY(B188,2)&gt;=6,"вых","раб"))</f>
        <v/>
      </c>
      <c r="G188" s="21" t="n"/>
      <c r="H188" s="21" t="n"/>
      <c r="I188" s="21" t="n"/>
      <c r="J188" s="21" t="n"/>
      <c r="K188" s="21" t="n"/>
      <c r="L188" s="21" t="n"/>
      <c r="M188" s="22" t="n"/>
    </row>
    <row r="189">
      <c r="A189" s="19" t="n">
        <v>184</v>
      </c>
      <c r="B189" s="20">
        <f>IF(DATE(Анкета!$C$12,1,1)+183&gt;DATE(Анкета!$C$12,12,31),"",DATE(Анкета!$C$12,1,1)+183)</f>
        <v/>
      </c>
      <c r="C189" s="19">
        <f>IF(B189="","",CHOOSE(WEEKDAY(B189,2),"понедельник","вторник","среда","четверг","пятница","суббота","воскресенье"))</f>
        <v/>
      </c>
      <c r="D189" s="19">
        <f>IF(B189="","",WEEKNUM(B189,21))</f>
        <v/>
      </c>
      <c r="E189" s="19">
        <f>IF(B189="","",MONTH(B189))</f>
        <v/>
      </c>
      <c r="F189" s="19">
        <f>IF(B189="","",IF(WEEKDAY(B189,2)&gt;=6,"вых","раб"))</f>
        <v/>
      </c>
      <c r="G189" s="21" t="n"/>
      <c r="H189" s="21" t="n"/>
      <c r="I189" s="21" t="n"/>
      <c r="J189" s="21" t="n"/>
      <c r="K189" s="21" t="n"/>
      <c r="L189" s="21" t="n"/>
      <c r="M189" s="22" t="n"/>
    </row>
    <row r="190">
      <c r="A190" s="19" t="n">
        <v>185</v>
      </c>
      <c r="B190" s="20">
        <f>IF(DATE(Анкета!$C$12,1,1)+184&gt;DATE(Анкета!$C$12,12,31),"",DATE(Анкета!$C$12,1,1)+184)</f>
        <v/>
      </c>
      <c r="C190" s="19">
        <f>IF(B190="","",CHOOSE(WEEKDAY(B190,2),"понедельник","вторник","среда","четверг","пятница","суббота","воскресенье"))</f>
        <v/>
      </c>
      <c r="D190" s="19">
        <f>IF(B190="","",WEEKNUM(B190,21))</f>
        <v/>
      </c>
      <c r="E190" s="19">
        <f>IF(B190="","",MONTH(B190))</f>
        <v/>
      </c>
      <c r="F190" s="19">
        <f>IF(B190="","",IF(WEEKDAY(B190,2)&gt;=6,"вых","раб"))</f>
        <v/>
      </c>
      <c r="G190" s="21" t="n"/>
      <c r="H190" s="21" t="n"/>
      <c r="I190" s="21" t="n"/>
      <c r="J190" s="21" t="n"/>
      <c r="K190" s="21" t="n"/>
      <c r="L190" s="21" t="n"/>
      <c r="M190" s="22" t="n"/>
    </row>
    <row r="191">
      <c r="A191" s="19" t="n">
        <v>186</v>
      </c>
      <c r="B191" s="20">
        <f>IF(DATE(Анкета!$C$12,1,1)+185&gt;DATE(Анкета!$C$12,12,31),"",DATE(Анкета!$C$12,1,1)+185)</f>
        <v/>
      </c>
      <c r="C191" s="19">
        <f>IF(B191="","",CHOOSE(WEEKDAY(B191,2),"понедельник","вторник","среда","четверг","пятница","суббота","воскресенье"))</f>
        <v/>
      </c>
      <c r="D191" s="19">
        <f>IF(B191="","",WEEKNUM(B191,21))</f>
        <v/>
      </c>
      <c r="E191" s="19">
        <f>IF(B191="","",MONTH(B191))</f>
        <v/>
      </c>
      <c r="F191" s="19">
        <f>IF(B191="","",IF(WEEKDAY(B191,2)&gt;=6,"вых","раб"))</f>
        <v/>
      </c>
      <c r="G191" s="21" t="n"/>
      <c r="H191" s="21" t="n"/>
      <c r="I191" s="21" t="n"/>
      <c r="J191" s="21" t="n"/>
      <c r="K191" s="21" t="n"/>
      <c r="L191" s="21" t="n"/>
      <c r="M191" s="22" t="n"/>
    </row>
    <row r="192">
      <c r="A192" s="19" t="n">
        <v>187</v>
      </c>
      <c r="B192" s="20">
        <f>IF(DATE(Анкета!$C$12,1,1)+186&gt;DATE(Анкета!$C$12,12,31),"",DATE(Анкета!$C$12,1,1)+186)</f>
        <v/>
      </c>
      <c r="C192" s="19">
        <f>IF(B192="","",CHOOSE(WEEKDAY(B192,2),"понедельник","вторник","среда","четверг","пятница","суббота","воскресенье"))</f>
        <v/>
      </c>
      <c r="D192" s="19">
        <f>IF(B192="","",WEEKNUM(B192,21))</f>
        <v/>
      </c>
      <c r="E192" s="19">
        <f>IF(B192="","",MONTH(B192))</f>
        <v/>
      </c>
      <c r="F192" s="19">
        <f>IF(B192="","",IF(WEEKDAY(B192,2)&gt;=6,"вых","раб"))</f>
        <v/>
      </c>
      <c r="G192" s="21" t="n"/>
      <c r="H192" s="21" t="n"/>
      <c r="I192" s="21" t="n"/>
      <c r="J192" s="21" t="n"/>
      <c r="K192" s="21" t="n"/>
      <c r="L192" s="21" t="n"/>
      <c r="M192" s="22" t="n"/>
    </row>
    <row r="193">
      <c r="A193" s="19" t="n">
        <v>188</v>
      </c>
      <c r="B193" s="20">
        <f>IF(DATE(Анкета!$C$12,1,1)+187&gt;DATE(Анкета!$C$12,12,31),"",DATE(Анкета!$C$12,1,1)+187)</f>
        <v/>
      </c>
      <c r="C193" s="19">
        <f>IF(B193="","",CHOOSE(WEEKDAY(B193,2),"понедельник","вторник","среда","четверг","пятница","суббота","воскресенье"))</f>
        <v/>
      </c>
      <c r="D193" s="19">
        <f>IF(B193="","",WEEKNUM(B193,21))</f>
        <v/>
      </c>
      <c r="E193" s="19">
        <f>IF(B193="","",MONTH(B193))</f>
        <v/>
      </c>
      <c r="F193" s="19">
        <f>IF(B193="","",IF(WEEKDAY(B193,2)&gt;=6,"вых","раб"))</f>
        <v/>
      </c>
      <c r="G193" s="21" t="n"/>
      <c r="H193" s="21" t="n"/>
      <c r="I193" s="21" t="n"/>
      <c r="J193" s="21" t="n"/>
      <c r="K193" s="21" t="n"/>
      <c r="L193" s="21" t="n"/>
      <c r="M193" s="22" t="n"/>
    </row>
    <row r="194">
      <c r="A194" s="19" t="n">
        <v>189</v>
      </c>
      <c r="B194" s="20">
        <f>IF(DATE(Анкета!$C$12,1,1)+188&gt;DATE(Анкета!$C$12,12,31),"",DATE(Анкета!$C$12,1,1)+188)</f>
        <v/>
      </c>
      <c r="C194" s="19">
        <f>IF(B194="","",CHOOSE(WEEKDAY(B194,2),"понедельник","вторник","среда","четверг","пятница","суббота","воскресенье"))</f>
        <v/>
      </c>
      <c r="D194" s="19">
        <f>IF(B194="","",WEEKNUM(B194,21))</f>
        <v/>
      </c>
      <c r="E194" s="19">
        <f>IF(B194="","",MONTH(B194))</f>
        <v/>
      </c>
      <c r="F194" s="19">
        <f>IF(B194="","",IF(WEEKDAY(B194,2)&gt;=6,"вых","раб"))</f>
        <v/>
      </c>
      <c r="G194" s="21" t="n"/>
      <c r="H194" s="21" t="n"/>
      <c r="I194" s="21" t="n"/>
      <c r="J194" s="21" t="n"/>
      <c r="K194" s="21" t="n"/>
      <c r="L194" s="21" t="n"/>
      <c r="M194" s="22" t="n"/>
    </row>
    <row r="195">
      <c r="A195" s="19" t="n">
        <v>190</v>
      </c>
      <c r="B195" s="20">
        <f>IF(DATE(Анкета!$C$12,1,1)+189&gt;DATE(Анкета!$C$12,12,31),"",DATE(Анкета!$C$12,1,1)+189)</f>
        <v/>
      </c>
      <c r="C195" s="19">
        <f>IF(B195="","",CHOOSE(WEEKDAY(B195,2),"понедельник","вторник","среда","четверг","пятница","суббота","воскресенье"))</f>
        <v/>
      </c>
      <c r="D195" s="19">
        <f>IF(B195="","",WEEKNUM(B195,21))</f>
        <v/>
      </c>
      <c r="E195" s="19">
        <f>IF(B195="","",MONTH(B195))</f>
        <v/>
      </c>
      <c r="F195" s="19">
        <f>IF(B195="","",IF(WEEKDAY(B195,2)&gt;=6,"вых","раб"))</f>
        <v/>
      </c>
      <c r="G195" s="21" t="n"/>
      <c r="H195" s="21" t="n"/>
      <c r="I195" s="21" t="n"/>
      <c r="J195" s="21" t="n"/>
      <c r="K195" s="21" t="n"/>
      <c r="L195" s="21" t="n"/>
      <c r="M195" s="22" t="n"/>
    </row>
    <row r="196">
      <c r="A196" s="19" t="n">
        <v>191</v>
      </c>
      <c r="B196" s="20">
        <f>IF(DATE(Анкета!$C$12,1,1)+190&gt;DATE(Анкета!$C$12,12,31),"",DATE(Анкета!$C$12,1,1)+190)</f>
        <v/>
      </c>
      <c r="C196" s="19">
        <f>IF(B196="","",CHOOSE(WEEKDAY(B196,2),"понедельник","вторник","среда","четверг","пятница","суббота","воскресенье"))</f>
        <v/>
      </c>
      <c r="D196" s="19">
        <f>IF(B196="","",WEEKNUM(B196,21))</f>
        <v/>
      </c>
      <c r="E196" s="19">
        <f>IF(B196="","",MONTH(B196))</f>
        <v/>
      </c>
      <c r="F196" s="19">
        <f>IF(B196="","",IF(WEEKDAY(B196,2)&gt;=6,"вых","раб"))</f>
        <v/>
      </c>
      <c r="G196" s="21" t="n"/>
      <c r="H196" s="21" t="n"/>
      <c r="I196" s="21" t="n"/>
      <c r="J196" s="21" t="n"/>
      <c r="K196" s="21" t="n"/>
      <c r="L196" s="21" t="n"/>
      <c r="M196" s="22" t="n"/>
    </row>
    <row r="197">
      <c r="A197" s="19" t="n">
        <v>192</v>
      </c>
      <c r="B197" s="20">
        <f>IF(DATE(Анкета!$C$12,1,1)+191&gt;DATE(Анкета!$C$12,12,31),"",DATE(Анкета!$C$12,1,1)+191)</f>
        <v/>
      </c>
      <c r="C197" s="19">
        <f>IF(B197="","",CHOOSE(WEEKDAY(B197,2),"понедельник","вторник","среда","четверг","пятница","суббота","воскресенье"))</f>
        <v/>
      </c>
      <c r="D197" s="19">
        <f>IF(B197="","",WEEKNUM(B197,21))</f>
        <v/>
      </c>
      <c r="E197" s="19">
        <f>IF(B197="","",MONTH(B197))</f>
        <v/>
      </c>
      <c r="F197" s="19">
        <f>IF(B197="","",IF(WEEKDAY(B197,2)&gt;=6,"вых","раб"))</f>
        <v/>
      </c>
      <c r="G197" s="21" t="n"/>
      <c r="H197" s="21" t="n"/>
      <c r="I197" s="21" t="n"/>
      <c r="J197" s="21" t="n"/>
      <c r="K197" s="21" t="n"/>
      <c r="L197" s="21" t="n"/>
      <c r="M197" s="22" t="n"/>
    </row>
    <row r="198">
      <c r="A198" s="19" t="n">
        <v>193</v>
      </c>
      <c r="B198" s="20">
        <f>IF(DATE(Анкета!$C$12,1,1)+192&gt;DATE(Анкета!$C$12,12,31),"",DATE(Анкета!$C$12,1,1)+192)</f>
        <v/>
      </c>
      <c r="C198" s="19">
        <f>IF(B198="","",CHOOSE(WEEKDAY(B198,2),"понедельник","вторник","среда","четверг","пятница","суббота","воскресенье"))</f>
        <v/>
      </c>
      <c r="D198" s="19">
        <f>IF(B198="","",WEEKNUM(B198,21))</f>
        <v/>
      </c>
      <c r="E198" s="19">
        <f>IF(B198="","",MONTH(B198))</f>
        <v/>
      </c>
      <c r="F198" s="19">
        <f>IF(B198="","",IF(WEEKDAY(B198,2)&gt;=6,"вых","раб"))</f>
        <v/>
      </c>
      <c r="G198" s="21" t="n"/>
      <c r="H198" s="21" t="n"/>
      <c r="I198" s="21" t="n"/>
      <c r="J198" s="21" t="n"/>
      <c r="K198" s="21" t="n"/>
      <c r="L198" s="21" t="n"/>
      <c r="M198" s="22" t="n"/>
    </row>
    <row r="199">
      <c r="A199" s="19" t="n">
        <v>194</v>
      </c>
      <c r="B199" s="20">
        <f>IF(DATE(Анкета!$C$12,1,1)+193&gt;DATE(Анкета!$C$12,12,31),"",DATE(Анкета!$C$12,1,1)+193)</f>
        <v/>
      </c>
      <c r="C199" s="19">
        <f>IF(B199="","",CHOOSE(WEEKDAY(B199,2),"понедельник","вторник","среда","четверг","пятница","суббота","воскресенье"))</f>
        <v/>
      </c>
      <c r="D199" s="19">
        <f>IF(B199="","",WEEKNUM(B199,21))</f>
        <v/>
      </c>
      <c r="E199" s="19">
        <f>IF(B199="","",MONTH(B199))</f>
        <v/>
      </c>
      <c r="F199" s="19">
        <f>IF(B199="","",IF(WEEKDAY(B199,2)&gt;=6,"вых","раб"))</f>
        <v/>
      </c>
      <c r="G199" s="21" t="n"/>
      <c r="H199" s="21" t="n"/>
      <c r="I199" s="21" t="n"/>
      <c r="J199" s="21" t="n"/>
      <c r="K199" s="21" t="n"/>
      <c r="L199" s="21" t="n"/>
      <c r="M199" s="22" t="n"/>
    </row>
    <row r="200">
      <c r="A200" s="19" t="n">
        <v>195</v>
      </c>
      <c r="B200" s="20">
        <f>IF(DATE(Анкета!$C$12,1,1)+194&gt;DATE(Анкета!$C$12,12,31),"",DATE(Анкета!$C$12,1,1)+194)</f>
        <v/>
      </c>
      <c r="C200" s="19">
        <f>IF(B200="","",CHOOSE(WEEKDAY(B200,2),"понедельник","вторник","среда","четверг","пятница","суббота","воскресенье"))</f>
        <v/>
      </c>
      <c r="D200" s="19">
        <f>IF(B200="","",WEEKNUM(B200,21))</f>
        <v/>
      </c>
      <c r="E200" s="19">
        <f>IF(B200="","",MONTH(B200))</f>
        <v/>
      </c>
      <c r="F200" s="19">
        <f>IF(B200="","",IF(WEEKDAY(B200,2)&gt;=6,"вых","раб"))</f>
        <v/>
      </c>
      <c r="G200" s="21" t="n"/>
      <c r="H200" s="21" t="n"/>
      <c r="I200" s="21" t="n"/>
      <c r="J200" s="21" t="n"/>
      <c r="K200" s="21" t="n"/>
      <c r="L200" s="21" t="n"/>
      <c r="M200" s="22" t="n"/>
    </row>
    <row r="201">
      <c r="A201" s="19" t="n">
        <v>196</v>
      </c>
      <c r="B201" s="20">
        <f>IF(DATE(Анкета!$C$12,1,1)+195&gt;DATE(Анкета!$C$12,12,31),"",DATE(Анкета!$C$12,1,1)+195)</f>
        <v/>
      </c>
      <c r="C201" s="19">
        <f>IF(B201="","",CHOOSE(WEEKDAY(B201,2),"понедельник","вторник","среда","четверг","пятница","суббота","воскресенье"))</f>
        <v/>
      </c>
      <c r="D201" s="19">
        <f>IF(B201="","",WEEKNUM(B201,21))</f>
        <v/>
      </c>
      <c r="E201" s="19">
        <f>IF(B201="","",MONTH(B201))</f>
        <v/>
      </c>
      <c r="F201" s="19">
        <f>IF(B201="","",IF(WEEKDAY(B201,2)&gt;=6,"вых","раб"))</f>
        <v/>
      </c>
      <c r="G201" s="21" t="n"/>
      <c r="H201" s="21" t="n"/>
      <c r="I201" s="21" t="n"/>
      <c r="J201" s="21" t="n"/>
      <c r="K201" s="21" t="n"/>
      <c r="L201" s="21" t="n"/>
      <c r="M201" s="22" t="n"/>
    </row>
    <row r="202">
      <c r="A202" s="19" t="n">
        <v>197</v>
      </c>
      <c r="B202" s="20">
        <f>IF(DATE(Анкета!$C$12,1,1)+196&gt;DATE(Анкета!$C$12,12,31),"",DATE(Анкета!$C$12,1,1)+196)</f>
        <v/>
      </c>
      <c r="C202" s="19">
        <f>IF(B202="","",CHOOSE(WEEKDAY(B202,2),"понедельник","вторник","среда","четверг","пятница","суббота","воскресенье"))</f>
        <v/>
      </c>
      <c r="D202" s="19">
        <f>IF(B202="","",WEEKNUM(B202,21))</f>
        <v/>
      </c>
      <c r="E202" s="19">
        <f>IF(B202="","",MONTH(B202))</f>
        <v/>
      </c>
      <c r="F202" s="19">
        <f>IF(B202="","",IF(WEEKDAY(B202,2)&gt;=6,"вых","раб"))</f>
        <v/>
      </c>
      <c r="G202" s="21" t="n"/>
      <c r="H202" s="21" t="n"/>
      <c r="I202" s="21" t="n"/>
      <c r="J202" s="21" t="n"/>
      <c r="K202" s="21" t="n"/>
      <c r="L202" s="21" t="n"/>
      <c r="M202" s="22" t="n"/>
    </row>
    <row r="203">
      <c r="A203" s="19" t="n">
        <v>198</v>
      </c>
      <c r="B203" s="20">
        <f>IF(DATE(Анкета!$C$12,1,1)+197&gt;DATE(Анкета!$C$12,12,31),"",DATE(Анкета!$C$12,1,1)+197)</f>
        <v/>
      </c>
      <c r="C203" s="19">
        <f>IF(B203="","",CHOOSE(WEEKDAY(B203,2),"понедельник","вторник","среда","четверг","пятница","суббота","воскресенье"))</f>
        <v/>
      </c>
      <c r="D203" s="19">
        <f>IF(B203="","",WEEKNUM(B203,21))</f>
        <v/>
      </c>
      <c r="E203" s="19">
        <f>IF(B203="","",MONTH(B203))</f>
        <v/>
      </c>
      <c r="F203" s="19">
        <f>IF(B203="","",IF(WEEKDAY(B203,2)&gt;=6,"вых","раб"))</f>
        <v/>
      </c>
      <c r="G203" s="21" t="n"/>
      <c r="H203" s="21" t="n"/>
      <c r="I203" s="21" t="n"/>
      <c r="J203" s="21" t="n"/>
      <c r="K203" s="21" t="n"/>
      <c r="L203" s="21" t="n"/>
      <c r="M203" s="22" t="n"/>
    </row>
    <row r="204">
      <c r="A204" s="19" t="n">
        <v>199</v>
      </c>
      <c r="B204" s="20">
        <f>IF(DATE(Анкета!$C$12,1,1)+198&gt;DATE(Анкета!$C$12,12,31),"",DATE(Анкета!$C$12,1,1)+198)</f>
        <v/>
      </c>
      <c r="C204" s="19">
        <f>IF(B204="","",CHOOSE(WEEKDAY(B204,2),"понедельник","вторник","среда","четверг","пятница","суббота","воскресенье"))</f>
        <v/>
      </c>
      <c r="D204" s="19">
        <f>IF(B204="","",WEEKNUM(B204,21))</f>
        <v/>
      </c>
      <c r="E204" s="19">
        <f>IF(B204="","",MONTH(B204))</f>
        <v/>
      </c>
      <c r="F204" s="19">
        <f>IF(B204="","",IF(WEEKDAY(B204,2)&gt;=6,"вых","раб"))</f>
        <v/>
      </c>
      <c r="G204" s="21" t="n"/>
      <c r="H204" s="21" t="n"/>
      <c r="I204" s="21" t="n"/>
      <c r="J204" s="21" t="n"/>
      <c r="K204" s="21" t="n"/>
      <c r="L204" s="21" t="n"/>
      <c r="M204" s="22" t="n"/>
    </row>
    <row r="205">
      <c r="A205" s="19" t="n">
        <v>200</v>
      </c>
      <c r="B205" s="20">
        <f>IF(DATE(Анкета!$C$12,1,1)+199&gt;DATE(Анкета!$C$12,12,31),"",DATE(Анкета!$C$12,1,1)+199)</f>
        <v/>
      </c>
      <c r="C205" s="19">
        <f>IF(B205="","",CHOOSE(WEEKDAY(B205,2),"понедельник","вторник","среда","четверг","пятница","суббота","воскресенье"))</f>
        <v/>
      </c>
      <c r="D205" s="19">
        <f>IF(B205="","",WEEKNUM(B205,21))</f>
        <v/>
      </c>
      <c r="E205" s="19">
        <f>IF(B205="","",MONTH(B205))</f>
        <v/>
      </c>
      <c r="F205" s="19">
        <f>IF(B205="","",IF(WEEKDAY(B205,2)&gt;=6,"вых","раб"))</f>
        <v/>
      </c>
      <c r="G205" s="21" t="n"/>
      <c r="H205" s="21" t="n"/>
      <c r="I205" s="21" t="n"/>
      <c r="J205" s="21" t="n"/>
      <c r="K205" s="21" t="n"/>
      <c r="L205" s="21" t="n"/>
      <c r="M205" s="22" t="n"/>
    </row>
    <row r="206">
      <c r="A206" s="19" t="n">
        <v>201</v>
      </c>
      <c r="B206" s="20">
        <f>IF(DATE(Анкета!$C$12,1,1)+200&gt;DATE(Анкета!$C$12,12,31),"",DATE(Анкета!$C$12,1,1)+200)</f>
        <v/>
      </c>
      <c r="C206" s="19">
        <f>IF(B206="","",CHOOSE(WEEKDAY(B206,2),"понедельник","вторник","среда","четверг","пятница","суббота","воскресенье"))</f>
        <v/>
      </c>
      <c r="D206" s="19">
        <f>IF(B206="","",WEEKNUM(B206,21))</f>
        <v/>
      </c>
      <c r="E206" s="19">
        <f>IF(B206="","",MONTH(B206))</f>
        <v/>
      </c>
      <c r="F206" s="19">
        <f>IF(B206="","",IF(WEEKDAY(B206,2)&gt;=6,"вых","раб"))</f>
        <v/>
      </c>
      <c r="G206" s="21" t="n"/>
      <c r="H206" s="21" t="n"/>
      <c r="I206" s="21" t="n"/>
      <c r="J206" s="21" t="n"/>
      <c r="K206" s="21" t="n"/>
      <c r="L206" s="21" t="n"/>
      <c r="M206" s="22" t="n"/>
    </row>
    <row r="207">
      <c r="A207" s="19" t="n">
        <v>202</v>
      </c>
      <c r="B207" s="20">
        <f>IF(DATE(Анкета!$C$12,1,1)+201&gt;DATE(Анкета!$C$12,12,31),"",DATE(Анкета!$C$12,1,1)+201)</f>
        <v/>
      </c>
      <c r="C207" s="19">
        <f>IF(B207="","",CHOOSE(WEEKDAY(B207,2),"понедельник","вторник","среда","четверг","пятница","суббота","воскресенье"))</f>
        <v/>
      </c>
      <c r="D207" s="19">
        <f>IF(B207="","",WEEKNUM(B207,21))</f>
        <v/>
      </c>
      <c r="E207" s="19">
        <f>IF(B207="","",MONTH(B207))</f>
        <v/>
      </c>
      <c r="F207" s="19">
        <f>IF(B207="","",IF(WEEKDAY(B207,2)&gt;=6,"вых","раб"))</f>
        <v/>
      </c>
      <c r="G207" s="21" t="n"/>
      <c r="H207" s="21" t="n"/>
      <c r="I207" s="21" t="n"/>
      <c r="J207" s="21" t="n"/>
      <c r="K207" s="21" t="n"/>
      <c r="L207" s="21" t="n"/>
      <c r="M207" s="22" t="n"/>
    </row>
    <row r="208">
      <c r="A208" s="19" t="n">
        <v>203</v>
      </c>
      <c r="B208" s="20">
        <f>IF(DATE(Анкета!$C$12,1,1)+202&gt;DATE(Анкета!$C$12,12,31),"",DATE(Анкета!$C$12,1,1)+202)</f>
        <v/>
      </c>
      <c r="C208" s="19">
        <f>IF(B208="","",CHOOSE(WEEKDAY(B208,2),"понедельник","вторник","среда","четверг","пятница","суббота","воскресенье"))</f>
        <v/>
      </c>
      <c r="D208" s="19">
        <f>IF(B208="","",WEEKNUM(B208,21))</f>
        <v/>
      </c>
      <c r="E208" s="19">
        <f>IF(B208="","",MONTH(B208))</f>
        <v/>
      </c>
      <c r="F208" s="19">
        <f>IF(B208="","",IF(WEEKDAY(B208,2)&gt;=6,"вых","раб"))</f>
        <v/>
      </c>
      <c r="G208" s="21" t="n"/>
      <c r="H208" s="21" t="n"/>
      <c r="I208" s="21" t="n"/>
      <c r="J208" s="21" t="n"/>
      <c r="K208" s="21" t="n"/>
      <c r="L208" s="21" t="n"/>
      <c r="M208" s="22" t="n"/>
    </row>
    <row r="209">
      <c r="A209" s="19" t="n">
        <v>204</v>
      </c>
      <c r="B209" s="20">
        <f>IF(DATE(Анкета!$C$12,1,1)+203&gt;DATE(Анкета!$C$12,12,31),"",DATE(Анкета!$C$12,1,1)+203)</f>
        <v/>
      </c>
      <c r="C209" s="19">
        <f>IF(B209="","",CHOOSE(WEEKDAY(B209,2),"понедельник","вторник","среда","четверг","пятница","суббота","воскресенье"))</f>
        <v/>
      </c>
      <c r="D209" s="19">
        <f>IF(B209="","",WEEKNUM(B209,21))</f>
        <v/>
      </c>
      <c r="E209" s="19">
        <f>IF(B209="","",MONTH(B209))</f>
        <v/>
      </c>
      <c r="F209" s="19">
        <f>IF(B209="","",IF(WEEKDAY(B209,2)&gt;=6,"вых","раб"))</f>
        <v/>
      </c>
      <c r="G209" s="21" t="n"/>
      <c r="H209" s="21" t="n"/>
      <c r="I209" s="21" t="n"/>
      <c r="J209" s="21" t="n"/>
      <c r="K209" s="21" t="n"/>
      <c r="L209" s="21" t="n"/>
      <c r="M209" s="22" t="n"/>
    </row>
    <row r="210">
      <c r="A210" s="19" t="n">
        <v>205</v>
      </c>
      <c r="B210" s="20">
        <f>IF(DATE(Анкета!$C$12,1,1)+204&gt;DATE(Анкета!$C$12,12,31),"",DATE(Анкета!$C$12,1,1)+204)</f>
        <v/>
      </c>
      <c r="C210" s="19">
        <f>IF(B210="","",CHOOSE(WEEKDAY(B210,2),"понедельник","вторник","среда","четверг","пятница","суббота","воскресенье"))</f>
        <v/>
      </c>
      <c r="D210" s="19">
        <f>IF(B210="","",WEEKNUM(B210,21))</f>
        <v/>
      </c>
      <c r="E210" s="19">
        <f>IF(B210="","",MONTH(B210))</f>
        <v/>
      </c>
      <c r="F210" s="19">
        <f>IF(B210="","",IF(WEEKDAY(B210,2)&gt;=6,"вых","раб"))</f>
        <v/>
      </c>
      <c r="G210" s="21" t="n"/>
      <c r="H210" s="21" t="n"/>
      <c r="I210" s="21" t="n"/>
      <c r="J210" s="21" t="n"/>
      <c r="K210" s="21" t="n"/>
      <c r="L210" s="21" t="n"/>
      <c r="M210" s="22" t="n"/>
    </row>
    <row r="211">
      <c r="A211" s="19" t="n">
        <v>206</v>
      </c>
      <c r="B211" s="20">
        <f>IF(DATE(Анкета!$C$12,1,1)+205&gt;DATE(Анкета!$C$12,12,31),"",DATE(Анкета!$C$12,1,1)+205)</f>
        <v/>
      </c>
      <c r="C211" s="19">
        <f>IF(B211="","",CHOOSE(WEEKDAY(B211,2),"понедельник","вторник","среда","четверг","пятница","суббота","воскресенье"))</f>
        <v/>
      </c>
      <c r="D211" s="19">
        <f>IF(B211="","",WEEKNUM(B211,21))</f>
        <v/>
      </c>
      <c r="E211" s="19">
        <f>IF(B211="","",MONTH(B211))</f>
        <v/>
      </c>
      <c r="F211" s="19">
        <f>IF(B211="","",IF(WEEKDAY(B211,2)&gt;=6,"вых","раб"))</f>
        <v/>
      </c>
      <c r="G211" s="21" t="n"/>
      <c r="H211" s="21" t="n"/>
      <c r="I211" s="21" t="n"/>
      <c r="J211" s="21" t="n"/>
      <c r="K211" s="21" t="n"/>
      <c r="L211" s="21" t="n"/>
      <c r="M211" s="22" t="n"/>
    </row>
    <row r="212">
      <c r="A212" s="19" t="n">
        <v>207</v>
      </c>
      <c r="B212" s="20">
        <f>IF(DATE(Анкета!$C$12,1,1)+206&gt;DATE(Анкета!$C$12,12,31),"",DATE(Анкета!$C$12,1,1)+206)</f>
        <v/>
      </c>
      <c r="C212" s="19">
        <f>IF(B212="","",CHOOSE(WEEKDAY(B212,2),"понедельник","вторник","среда","четверг","пятница","суббота","воскресенье"))</f>
        <v/>
      </c>
      <c r="D212" s="19">
        <f>IF(B212="","",WEEKNUM(B212,21))</f>
        <v/>
      </c>
      <c r="E212" s="19">
        <f>IF(B212="","",MONTH(B212))</f>
        <v/>
      </c>
      <c r="F212" s="19">
        <f>IF(B212="","",IF(WEEKDAY(B212,2)&gt;=6,"вых","раб"))</f>
        <v/>
      </c>
      <c r="G212" s="21" t="n"/>
      <c r="H212" s="21" t="n"/>
      <c r="I212" s="21" t="n"/>
      <c r="J212" s="21" t="n"/>
      <c r="K212" s="21" t="n"/>
      <c r="L212" s="21" t="n"/>
      <c r="M212" s="22" t="n"/>
    </row>
    <row r="213">
      <c r="A213" s="19" t="n">
        <v>208</v>
      </c>
      <c r="B213" s="20">
        <f>IF(DATE(Анкета!$C$12,1,1)+207&gt;DATE(Анкета!$C$12,12,31),"",DATE(Анкета!$C$12,1,1)+207)</f>
        <v/>
      </c>
      <c r="C213" s="19">
        <f>IF(B213="","",CHOOSE(WEEKDAY(B213,2),"понедельник","вторник","среда","четверг","пятница","суббота","воскресенье"))</f>
        <v/>
      </c>
      <c r="D213" s="19">
        <f>IF(B213="","",WEEKNUM(B213,21))</f>
        <v/>
      </c>
      <c r="E213" s="19">
        <f>IF(B213="","",MONTH(B213))</f>
        <v/>
      </c>
      <c r="F213" s="19">
        <f>IF(B213="","",IF(WEEKDAY(B213,2)&gt;=6,"вых","раб"))</f>
        <v/>
      </c>
      <c r="G213" s="21" t="n"/>
      <c r="H213" s="21" t="n"/>
      <c r="I213" s="21" t="n"/>
      <c r="J213" s="21" t="n"/>
      <c r="K213" s="21" t="n"/>
      <c r="L213" s="21" t="n"/>
      <c r="M213" s="22" t="n"/>
    </row>
    <row r="214">
      <c r="A214" s="19" t="n">
        <v>209</v>
      </c>
      <c r="B214" s="20">
        <f>IF(DATE(Анкета!$C$12,1,1)+208&gt;DATE(Анкета!$C$12,12,31),"",DATE(Анкета!$C$12,1,1)+208)</f>
        <v/>
      </c>
      <c r="C214" s="19">
        <f>IF(B214="","",CHOOSE(WEEKDAY(B214,2),"понедельник","вторник","среда","четверг","пятница","суббота","воскресенье"))</f>
        <v/>
      </c>
      <c r="D214" s="19">
        <f>IF(B214="","",WEEKNUM(B214,21))</f>
        <v/>
      </c>
      <c r="E214" s="19">
        <f>IF(B214="","",MONTH(B214))</f>
        <v/>
      </c>
      <c r="F214" s="19">
        <f>IF(B214="","",IF(WEEKDAY(B214,2)&gt;=6,"вых","раб"))</f>
        <v/>
      </c>
      <c r="G214" s="21" t="n"/>
      <c r="H214" s="21" t="n"/>
      <c r="I214" s="21" t="n"/>
      <c r="J214" s="21" t="n"/>
      <c r="K214" s="21" t="n"/>
      <c r="L214" s="21" t="n"/>
      <c r="M214" s="22" t="n"/>
    </row>
    <row r="215">
      <c r="A215" s="19" t="n">
        <v>210</v>
      </c>
      <c r="B215" s="20">
        <f>IF(DATE(Анкета!$C$12,1,1)+209&gt;DATE(Анкета!$C$12,12,31),"",DATE(Анкета!$C$12,1,1)+209)</f>
        <v/>
      </c>
      <c r="C215" s="19">
        <f>IF(B215="","",CHOOSE(WEEKDAY(B215,2),"понедельник","вторник","среда","четверг","пятница","суббота","воскресенье"))</f>
        <v/>
      </c>
      <c r="D215" s="19">
        <f>IF(B215="","",WEEKNUM(B215,21))</f>
        <v/>
      </c>
      <c r="E215" s="19">
        <f>IF(B215="","",MONTH(B215))</f>
        <v/>
      </c>
      <c r="F215" s="19">
        <f>IF(B215="","",IF(WEEKDAY(B215,2)&gt;=6,"вых","раб"))</f>
        <v/>
      </c>
      <c r="G215" s="21" t="n"/>
      <c r="H215" s="21" t="n"/>
      <c r="I215" s="21" t="n"/>
      <c r="J215" s="21" t="n"/>
      <c r="K215" s="21" t="n"/>
      <c r="L215" s="21" t="n"/>
      <c r="M215" s="22" t="n"/>
    </row>
    <row r="216">
      <c r="A216" s="19" t="n">
        <v>211</v>
      </c>
      <c r="B216" s="20">
        <f>IF(DATE(Анкета!$C$12,1,1)+210&gt;DATE(Анкета!$C$12,12,31),"",DATE(Анкета!$C$12,1,1)+210)</f>
        <v/>
      </c>
      <c r="C216" s="19">
        <f>IF(B216="","",CHOOSE(WEEKDAY(B216,2),"понедельник","вторник","среда","четверг","пятница","суббота","воскресенье"))</f>
        <v/>
      </c>
      <c r="D216" s="19">
        <f>IF(B216="","",WEEKNUM(B216,21))</f>
        <v/>
      </c>
      <c r="E216" s="19">
        <f>IF(B216="","",MONTH(B216))</f>
        <v/>
      </c>
      <c r="F216" s="19">
        <f>IF(B216="","",IF(WEEKDAY(B216,2)&gt;=6,"вых","раб"))</f>
        <v/>
      </c>
      <c r="G216" s="21" t="n"/>
      <c r="H216" s="21" t="n"/>
      <c r="I216" s="21" t="n"/>
      <c r="J216" s="21" t="n"/>
      <c r="K216" s="21" t="n"/>
      <c r="L216" s="21" t="n"/>
      <c r="M216" s="22" t="n"/>
    </row>
    <row r="217">
      <c r="A217" s="19" t="n">
        <v>212</v>
      </c>
      <c r="B217" s="20">
        <f>IF(DATE(Анкета!$C$12,1,1)+211&gt;DATE(Анкета!$C$12,12,31),"",DATE(Анкета!$C$12,1,1)+211)</f>
        <v/>
      </c>
      <c r="C217" s="19">
        <f>IF(B217="","",CHOOSE(WEEKDAY(B217,2),"понедельник","вторник","среда","четверг","пятница","суббота","воскресенье"))</f>
        <v/>
      </c>
      <c r="D217" s="19">
        <f>IF(B217="","",WEEKNUM(B217,21))</f>
        <v/>
      </c>
      <c r="E217" s="19">
        <f>IF(B217="","",MONTH(B217))</f>
        <v/>
      </c>
      <c r="F217" s="19">
        <f>IF(B217="","",IF(WEEKDAY(B217,2)&gt;=6,"вых","раб"))</f>
        <v/>
      </c>
      <c r="G217" s="21" t="n"/>
      <c r="H217" s="21" t="n"/>
      <c r="I217" s="21" t="n"/>
      <c r="J217" s="21" t="n"/>
      <c r="K217" s="21" t="n"/>
      <c r="L217" s="21" t="n"/>
      <c r="M217" s="22" t="n"/>
    </row>
    <row r="218">
      <c r="A218" s="19" t="n">
        <v>213</v>
      </c>
      <c r="B218" s="20">
        <f>IF(DATE(Анкета!$C$12,1,1)+212&gt;DATE(Анкета!$C$12,12,31),"",DATE(Анкета!$C$12,1,1)+212)</f>
        <v/>
      </c>
      <c r="C218" s="19">
        <f>IF(B218="","",CHOOSE(WEEKDAY(B218,2),"понедельник","вторник","среда","четверг","пятница","суббота","воскресенье"))</f>
        <v/>
      </c>
      <c r="D218" s="19">
        <f>IF(B218="","",WEEKNUM(B218,21))</f>
        <v/>
      </c>
      <c r="E218" s="19">
        <f>IF(B218="","",MONTH(B218))</f>
        <v/>
      </c>
      <c r="F218" s="19">
        <f>IF(B218="","",IF(WEEKDAY(B218,2)&gt;=6,"вых","раб"))</f>
        <v/>
      </c>
      <c r="G218" s="21" t="n"/>
      <c r="H218" s="21" t="n"/>
      <c r="I218" s="21" t="n"/>
      <c r="J218" s="21" t="n"/>
      <c r="K218" s="21" t="n"/>
      <c r="L218" s="21" t="n"/>
      <c r="M218" s="22" t="n"/>
    </row>
    <row r="219">
      <c r="A219" s="19" t="n">
        <v>214</v>
      </c>
      <c r="B219" s="20">
        <f>IF(DATE(Анкета!$C$12,1,1)+213&gt;DATE(Анкета!$C$12,12,31),"",DATE(Анкета!$C$12,1,1)+213)</f>
        <v/>
      </c>
      <c r="C219" s="19">
        <f>IF(B219="","",CHOOSE(WEEKDAY(B219,2),"понедельник","вторник","среда","четверг","пятница","суббота","воскресенье"))</f>
        <v/>
      </c>
      <c r="D219" s="19">
        <f>IF(B219="","",WEEKNUM(B219,21))</f>
        <v/>
      </c>
      <c r="E219" s="19">
        <f>IF(B219="","",MONTH(B219))</f>
        <v/>
      </c>
      <c r="F219" s="19">
        <f>IF(B219="","",IF(WEEKDAY(B219,2)&gt;=6,"вых","раб"))</f>
        <v/>
      </c>
      <c r="G219" s="21" t="n"/>
      <c r="H219" s="21" t="n"/>
      <c r="I219" s="21" t="n"/>
      <c r="J219" s="21" t="n"/>
      <c r="K219" s="21" t="n"/>
      <c r="L219" s="21" t="n"/>
      <c r="M219" s="22" t="n"/>
    </row>
    <row r="220">
      <c r="A220" s="19" t="n">
        <v>215</v>
      </c>
      <c r="B220" s="20">
        <f>IF(DATE(Анкета!$C$12,1,1)+214&gt;DATE(Анкета!$C$12,12,31),"",DATE(Анкета!$C$12,1,1)+214)</f>
        <v/>
      </c>
      <c r="C220" s="19">
        <f>IF(B220="","",CHOOSE(WEEKDAY(B220,2),"понедельник","вторник","среда","четверг","пятница","суббота","воскресенье"))</f>
        <v/>
      </c>
      <c r="D220" s="19">
        <f>IF(B220="","",WEEKNUM(B220,21))</f>
        <v/>
      </c>
      <c r="E220" s="19">
        <f>IF(B220="","",MONTH(B220))</f>
        <v/>
      </c>
      <c r="F220" s="19">
        <f>IF(B220="","",IF(WEEKDAY(B220,2)&gt;=6,"вых","раб"))</f>
        <v/>
      </c>
      <c r="G220" s="21" t="n"/>
      <c r="H220" s="21" t="n"/>
      <c r="I220" s="21" t="n"/>
      <c r="J220" s="21" t="n"/>
      <c r="K220" s="21" t="n"/>
      <c r="L220" s="21" t="n"/>
      <c r="M220" s="22" t="n"/>
    </row>
    <row r="221">
      <c r="A221" s="19" t="n">
        <v>216</v>
      </c>
      <c r="B221" s="20">
        <f>IF(DATE(Анкета!$C$12,1,1)+215&gt;DATE(Анкета!$C$12,12,31),"",DATE(Анкета!$C$12,1,1)+215)</f>
        <v/>
      </c>
      <c r="C221" s="19">
        <f>IF(B221="","",CHOOSE(WEEKDAY(B221,2),"понедельник","вторник","среда","четверг","пятница","суббота","воскресенье"))</f>
        <v/>
      </c>
      <c r="D221" s="19">
        <f>IF(B221="","",WEEKNUM(B221,21))</f>
        <v/>
      </c>
      <c r="E221" s="19">
        <f>IF(B221="","",MONTH(B221))</f>
        <v/>
      </c>
      <c r="F221" s="19">
        <f>IF(B221="","",IF(WEEKDAY(B221,2)&gt;=6,"вых","раб"))</f>
        <v/>
      </c>
      <c r="G221" s="21" t="n"/>
      <c r="H221" s="21" t="n"/>
      <c r="I221" s="21" t="n"/>
      <c r="J221" s="21" t="n"/>
      <c r="K221" s="21" t="n"/>
      <c r="L221" s="21" t="n"/>
      <c r="M221" s="22" t="n"/>
    </row>
    <row r="222">
      <c r="A222" s="19" t="n">
        <v>217</v>
      </c>
      <c r="B222" s="20">
        <f>IF(DATE(Анкета!$C$12,1,1)+216&gt;DATE(Анкета!$C$12,12,31),"",DATE(Анкета!$C$12,1,1)+216)</f>
        <v/>
      </c>
      <c r="C222" s="19">
        <f>IF(B222="","",CHOOSE(WEEKDAY(B222,2),"понедельник","вторник","среда","четверг","пятница","суббота","воскресенье"))</f>
        <v/>
      </c>
      <c r="D222" s="19">
        <f>IF(B222="","",WEEKNUM(B222,21))</f>
        <v/>
      </c>
      <c r="E222" s="19">
        <f>IF(B222="","",MONTH(B222))</f>
        <v/>
      </c>
      <c r="F222" s="19">
        <f>IF(B222="","",IF(WEEKDAY(B222,2)&gt;=6,"вых","раб"))</f>
        <v/>
      </c>
      <c r="G222" s="21" t="n"/>
      <c r="H222" s="21" t="n"/>
      <c r="I222" s="21" t="n"/>
      <c r="J222" s="21" t="n"/>
      <c r="K222" s="21" t="n"/>
      <c r="L222" s="21" t="n"/>
      <c r="M222" s="22" t="n"/>
    </row>
    <row r="223">
      <c r="A223" s="19" t="n">
        <v>218</v>
      </c>
      <c r="B223" s="20">
        <f>IF(DATE(Анкета!$C$12,1,1)+217&gt;DATE(Анкета!$C$12,12,31),"",DATE(Анкета!$C$12,1,1)+217)</f>
        <v/>
      </c>
      <c r="C223" s="19">
        <f>IF(B223="","",CHOOSE(WEEKDAY(B223,2),"понедельник","вторник","среда","четверг","пятница","суббота","воскресенье"))</f>
        <v/>
      </c>
      <c r="D223" s="19">
        <f>IF(B223="","",WEEKNUM(B223,21))</f>
        <v/>
      </c>
      <c r="E223" s="19">
        <f>IF(B223="","",MONTH(B223))</f>
        <v/>
      </c>
      <c r="F223" s="19">
        <f>IF(B223="","",IF(WEEKDAY(B223,2)&gt;=6,"вых","раб"))</f>
        <v/>
      </c>
      <c r="G223" s="21" t="n"/>
      <c r="H223" s="21" t="n"/>
      <c r="I223" s="21" t="n"/>
      <c r="J223" s="21" t="n"/>
      <c r="K223" s="21" t="n"/>
      <c r="L223" s="21" t="n"/>
      <c r="M223" s="22" t="n"/>
    </row>
    <row r="224">
      <c r="A224" s="19" t="n">
        <v>219</v>
      </c>
      <c r="B224" s="20">
        <f>IF(DATE(Анкета!$C$12,1,1)+218&gt;DATE(Анкета!$C$12,12,31),"",DATE(Анкета!$C$12,1,1)+218)</f>
        <v/>
      </c>
      <c r="C224" s="19">
        <f>IF(B224="","",CHOOSE(WEEKDAY(B224,2),"понедельник","вторник","среда","четверг","пятница","суббота","воскресенье"))</f>
        <v/>
      </c>
      <c r="D224" s="19">
        <f>IF(B224="","",WEEKNUM(B224,21))</f>
        <v/>
      </c>
      <c r="E224" s="19">
        <f>IF(B224="","",MONTH(B224))</f>
        <v/>
      </c>
      <c r="F224" s="19">
        <f>IF(B224="","",IF(WEEKDAY(B224,2)&gt;=6,"вых","раб"))</f>
        <v/>
      </c>
      <c r="G224" s="21" t="n"/>
      <c r="H224" s="21" t="n"/>
      <c r="I224" s="21" t="n"/>
      <c r="J224" s="21" t="n"/>
      <c r="K224" s="21" t="n"/>
      <c r="L224" s="21" t="n"/>
      <c r="M224" s="22" t="n"/>
    </row>
    <row r="225">
      <c r="A225" s="19" t="n">
        <v>220</v>
      </c>
      <c r="B225" s="20">
        <f>IF(DATE(Анкета!$C$12,1,1)+219&gt;DATE(Анкета!$C$12,12,31),"",DATE(Анкета!$C$12,1,1)+219)</f>
        <v/>
      </c>
      <c r="C225" s="19">
        <f>IF(B225="","",CHOOSE(WEEKDAY(B225,2),"понедельник","вторник","среда","четверг","пятница","суббота","воскресенье"))</f>
        <v/>
      </c>
      <c r="D225" s="19">
        <f>IF(B225="","",WEEKNUM(B225,21))</f>
        <v/>
      </c>
      <c r="E225" s="19">
        <f>IF(B225="","",MONTH(B225))</f>
        <v/>
      </c>
      <c r="F225" s="19">
        <f>IF(B225="","",IF(WEEKDAY(B225,2)&gt;=6,"вых","раб"))</f>
        <v/>
      </c>
      <c r="G225" s="21" t="n"/>
      <c r="H225" s="21" t="n"/>
      <c r="I225" s="21" t="n"/>
      <c r="J225" s="21" t="n"/>
      <c r="K225" s="21" t="n"/>
      <c r="L225" s="21" t="n"/>
      <c r="M225" s="22" t="n"/>
    </row>
    <row r="226">
      <c r="A226" s="19" t="n">
        <v>221</v>
      </c>
      <c r="B226" s="20">
        <f>IF(DATE(Анкета!$C$12,1,1)+220&gt;DATE(Анкета!$C$12,12,31),"",DATE(Анкета!$C$12,1,1)+220)</f>
        <v/>
      </c>
      <c r="C226" s="19">
        <f>IF(B226="","",CHOOSE(WEEKDAY(B226,2),"понедельник","вторник","среда","четверг","пятница","суббота","воскресенье"))</f>
        <v/>
      </c>
      <c r="D226" s="19">
        <f>IF(B226="","",WEEKNUM(B226,21))</f>
        <v/>
      </c>
      <c r="E226" s="19">
        <f>IF(B226="","",MONTH(B226))</f>
        <v/>
      </c>
      <c r="F226" s="19">
        <f>IF(B226="","",IF(WEEKDAY(B226,2)&gt;=6,"вых","раб"))</f>
        <v/>
      </c>
      <c r="G226" s="21" t="n"/>
      <c r="H226" s="21" t="n"/>
      <c r="I226" s="21" t="n"/>
      <c r="J226" s="21" t="n"/>
      <c r="K226" s="21" t="n"/>
      <c r="L226" s="21" t="n"/>
      <c r="M226" s="22" t="n"/>
    </row>
    <row r="227">
      <c r="A227" s="19" t="n">
        <v>222</v>
      </c>
      <c r="B227" s="20">
        <f>IF(DATE(Анкета!$C$12,1,1)+221&gt;DATE(Анкета!$C$12,12,31),"",DATE(Анкета!$C$12,1,1)+221)</f>
        <v/>
      </c>
      <c r="C227" s="19">
        <f>IF(B227="","",CHOOSE(WEEKDAY(B227,2),"понедельник","вторник","среда","четверг","пятница","суббота","воскресенье"))</f>
        <v/>
      </c>
      <c r="D227" s="19">
        <f>IF(B227="","",WEEKNUM(B227,21))</f>
        <v/>
      </c>
      <c r="E227" s="19">
        <f>IF(B227="","",MONTH(B227))</f>
        <v/>
      </c>
      <c r="F227" s="19">
        <f>IF(B227="","",IF(WEEKDAY(B227,2)&gt;=6,"вых","раб"))</f>
        <v/>
      </c>
      <c r="G227" s="21" t="n"/>
      <c r="H227" s="21" t="n"/>
      <c r="I227" s="21" t="n"/>
      <c r="J227" s="21" t="n"/>
      <c r="K227" s="21" t="n"/>
      <c r="L227" s="21" t="n"/>
      <c r="M227" s="22" t="n"/>
    </row>
    <row r="228">
      <c r="A228" s="19" t="n">
        <v>223</v>
      </c>
      <c r="B228" s="20">
        <f>IF(DATE(Анкета!$C$12,1,1)+222&gt;DATE(Анкета!$C$12,12,31),"",DATE(Анкета!$C$12,1,1)+222)</f>
        <v/>
      </c>
      <c r="C228" s="19">
        <f>IF(B228="","",CHOOSE(WEEKDAY(B228,2),"понедельник","вторник","среда","четверг","пятница","суббота","воскресенье"))</f>
        <v/>
      </c>
      <c r="D228" s="19">
        <f>IF(B228="","",WEEKNUM(B228,21))</f>
        <v/>
      </c>
      <c r="E228" s="19">
        <f>IF(B228="","",MONTH(B228))</f>
        <v/>
      </c>
      <c r="F228" s="19">
        <f>IF(B228="","",IF(WEEKDAY(B228,2)&gt;=6,"вых","раб"))</f>
        <v/>
      </c>
      <c r="G228" s="21" t="n"/>
      <c r="H228" s="21" t="n"/>
      <c r="I228" s="21" t="n"/>
      <c r="J228" s="21" t="n"/>
      <c r="K228" s="21" t="n"/>
      <c r="L228" s="21" t="n"/>
      <c r="M228" s="22" t="n"/>
    </row>
    <row r="229">
      <c r="A229" s="19" t="n">
        <v>224</v>
      </c>
      <c r="B229" s="20">
        <f>IF(DATE(Анкета!$C$12,1,1)+223&gt;DATE(Анкета!$C$12,12,31),"",DATE(Анкета!$C$12,1,1)+223)</f>
        <v/>
      </c>
      <c r="C229" s="19">
        <f>IF(B229="","",CHOOSE(WEEKDAY(B229,2),"понедельник","вторник","среда","четверг","пятница","суббота","воскресенье"))</f>
        <v/>
      </c>
      <c r="D229" s="19">
        <f>IF(B229="","",WEEKNUM(B229,21))</f>
        <v/>
      </c>
      <c r="E229" s="19">
        <f>IF(B229="","",MONTH(B229))</f>
        <v/>
      </c>
      <c r="F229" s="19">
        <f>IF(B229="","",IF(WEEKDAY(B229,2)&gt;=6,"вых","раб"))</f>
        <v/>
      </c>
      <c r="G229" s="21" t="n"/>
      <c r="H229" s="21" t="n"/>
      <c r="I229" s="21" t="n"/>
      <c r="J229" s="21" t="n"/>
      <c r="K229" s="21" t="n"/>
      <c r="L229" s="21" t="n"/>
      <c r="M229" s="22" t="n"/>
    </row>
    <row r="230">
      <c r="A230" s="19" t="n">
        <v>225</v>
      </c>
      <c r="B230" s="20">
        <f>IF(DATE(Анкета!$C$12,1,1)+224&gt;DATE(Анкета!$C$12,12,31),"",DATE(Анкета!$C$12,1,1)+224)</f>
        <v/>
      </c>
      <c r="C230" s="19">
        <f>IF(B230="","",CHOOSE(WEEKDAY(B230,2),"понедельник","вторник","среда","четверг","пятница","суббота","воскресенье"))</f>
        <v/>
      </c>
      <c r="D230" s="19">
        <f>IF(B230="","",WEEKNUM(B230,21))</f>
        <v/>
      </c>
      <c r="E230" s="19">
        <f>IF(B230="","",MONTH(B230))</f>
        <v/>
      </c>
      <c r="F230" s="19">
        <f>IF(B230="","",IF(WEEKDAY(B230,2)&gt;=6,"вых","раб"))</f>
        <v/>
      </c>
      <c r="G230" s="21" t="n"/>
      <c r="H230" s="21" t="n"/>
      <c r="I230" s="21" t="n"/>
      <c r="J230" s="21" t="n"/>
      <c r="K230" s="21" t="n"/>
      <c r="L230" s="21" t="n"/>
      <c r="M230" s="22" t="n"/>
    </row>
    <row r="231">
      <c r="A231" s="19" t="n">
        <v>226</v>
      </c>
      <c r="B231" s="20">
        <f>IF(DATE(Анкета!$C$12,1,1)+225&gt;DATE(Анкета!$C$12,12,31),"",DATE(Анкета!$C$12,1,1)+225)</f>
        <v/>
      </c>
      <c r="C231" s="19">
        <f>IF(B231="","",CHOOSE(WEEKDAY(B231,2),"понедельник","вторник","среда","четверг","пятница","суббота","воскресенье"))</f>
        <v/>
      </c>
      <c r="D231" s="19">
        <f>IF(B231="","",WEEKNUM(B231,21))</f>
        <v/>
      </c>
      <c r="E231" s="19">
        <f>IF(B231="","",MONTH(B231))</f>
        <v/>
      </c>
      <c r="F231" s="19">
        <f>IF(B231="","",IF(WEEKDAY(B231,2)&gt;=6,"вых","раб"))</f>
        <v/>
      </c>
      <c r="G231" s="21" t="n"/>
      <c r="H231" s="21" t="n"/>
      <c r="I231" s="21" t="n"/>
      <c r="J231" s="21" t="n"/>
      <c r="K231" s="21" t="n"/>
      <c r="L231" s="21" t="n"/>
      <c r="M231" s="22" t="n"/>
    </row>
    <row r="232">
      <c r="A232" s="19" t="n">
        <v>227</v>
      </c>
      <c r="B232" s="20">
        <f>IF(DATE(Анкета!$C$12,1,1)+226&gt;DATE(Анкета!$C$12,12,31),"",DATE(Анкета!$C$12,1,1)+226)</f>
        <v/>
      </c>
      <c r="C232" s="19">
        <f>IF(B232="","",CHOOSE(WEEKDAY(B232,2),"понедельник","вторник","среда","четверг","пятница","суббота","воскресенье"))</f>
        <v/>
      </c>
      <c r="D232" s="19">
        <f>IF(B232="","",WEEKNUM(B232,21))</f>
        <v/>
      </c>
      <c r="E232" s="19">
        <f>IF(B232="","",MONTH(B232))</f>
        <v/>
      </c>
      <c r="F232" s="19">
        <f>IF(B232="","",IF(WEEKDAY(B232,2)&gt;=6,"вых","раб"))</f>
        <v/>
      </c>
      <c r="G232" s="21" t="n"/>
      <c r="H232" s="21" t="n"/>
      <c r="I232" s="21" t="n"/>
      <c r="J232" s="21" t="n"/>
      <c r="K232" s="21" t="n"/>
      <c r="L232" s="21" t="n"/>
      <c r="M232" s="22" t="n"/>
    </row>
    <row r="233">
      <c r="A233" s="19" t="n">
        <v>228</v>
      </c>
      <c r="B233" s="20">
        <f>IF(DATE(Анкета!$C$12,1,1)+227&gt;DATE(Анкета!$C$12,12,31),"",DATE(Анкета!$C$12,1,1)+227)</f>
        <v/>
      </c>
      <c r="C233" s="19">
        <f>IF(B233="","",CHOOSE(WEEKDAY(B233,2),"понедельник","вторник","среда","четверг","пятница","суббота","воскресенье"))</f>
        <v/>
      </c>
      <c r="D233" s="19">
        <f>IF(B233="","",WEEKNUM(B233,21))</f>
        <v/>
      </c>
      <c r="E233" s="19">
        <f>IF(B233="","",MONTH(B233))</f>
        <v/>
      </c>
      <c r="F233" s="19">
        <f>IF(B233="","",IF(WEEKDAY(B233,2)&gt;=6,"вых","раб"))</f>
        <v/>
      </c>
      <c r="G233" s="21" t="n"/>
      <c r="H233" s="21" t="n"/>
      <c r="I233" s="21" t="n"/>
      <c r="J233" s="21" t="n"/>
      <c r="K233" s="21" t="n"/>
      <c r="L233" s="21" t="n"/>
      <c r="M233" s="22" t="n"/>
    </row>
    <row r="234">
      <c r="A234" s="19" t="n">
        <v>229</v>
      </c>
      <c r="B234" s="20">
        <f>IF(DATE(Анкета!$C$12,1,1)+228&gt;DATE(Анкета!$C$12,12,31),"",DATE(Анкета!$C$12,1,1)+228)</f>
        <v/>
      </c>
      <c r="C234" s="19">
        <f>IF(B234="","",CHOOSE(WEEKDAY(B234,2),"понедельник","вторник","среда","четверг","пятница","суббота","воскресенье"))</f>
        <v/>
      </c>
      <c r="D234" s="19">
        <f>IF(B234="","",WEEKNUM(B234,21))</f>
        <v/>
      </c>
      <c r="E234" s="19">
        <f>IF(B234="","",MONTH(B234))</f>
        <v/>
      </c>
      <c r="F234" s="19">
        <f>IF(B234="","",IF(WEEKDAY(B234,2)&gt;=6,"вых","раб"))</f>
        <v/>
      </c>
      <c r="G234" s="21" t="n"/>
      <c r="H234" s="21" t="n"/>
      <c r="I234" s="21" t="n"/>
      <c r="J234" s="21" t="n"/>
      <c r="K234" s="21" t="n"/>
      <c r="L234" s="21" t="n"/>
      <c r="M234" s="22" t="n"/>
    </row>
    <row r="235">
      <c r="A235" s="19" t="n">
        <v>230</v>
      </c>
      <c r="B235" s="20">
        <f>IF(DATE(Анкета!$C$12,1,1)+229&gt;DATE(Анкета!$C$12,12,31),"",DATE(Анкета!$C$12,1,1)+229)</f>
        <v/>
      </c>
      <c r="C235" s="19">
        <f>IF(B235="","",CHOOSE(WEEKDAY(B235,2),"понедельник","вторник","среда","четверг","пятница","суббота","воскресенье"))</f>
        <v/>
      </c>
      <c r="D235" s="19">
        <f>IF(B235="","",WEEKNUM(B235,21))</f>
        <v/>
      </c>
      <c r="E235" s="19">
        <f>IF(B235="","",MONTH(B235))</f>
        <v/>
      </c>
      <c r="F235" s="19">
        <f>IF(B235="","",IF(WEEKDAY(B235,2)&gt;=6,"вых","раб"))</f>
        <v/>
      </c>
      <c r="G235" s="21" t="n"/>
      <c r="H235" s="21" t="n"/>
      <c r="I235" s="21" t="n"/>
      <c r="J235" s="21" t="n"/>
      <c r="K235" s="21" t="n"/>
      <c r="L235" s="21" t="n"/>
      <c r="M235" s="22" t="n"/>
    </row>
    <row r="236">
      <c r="A236" s="19" t="n">
        <v>231</v>
      </c>
      <c r="B236" s="20">
        <f>IF(DATE(Анкета!$C$12,1,1)+230&gt;DATE(Анкета!$C$12,12,31),"",DATE(Анкета!$C$12,1,1)+230)</f>
        <v/>
      </c>
      <c r="C236" s="19">
        <f>IF(B236="","",CHOOSE(WEEKDAY(B236,2),"понедельник","вторник","среда","четверг","пятница","суббота","воскресенье"))</f>
        <v/>
      </c>
      <c r="D236" s="19">
        <f>IF(B236="","",WEEKNUM(B236,21))</f>
        <v/>
      </c>
      <c r="E236" s="19">
        <f>IF(B236="","",MONTH(B236))</f>
        <v/>
      </c>
      <c r="F236" s="19">
        <f>IF(B236="","",IF(WEEKDAY(B236,2)&gt;=6,"вых","раб"))</f>
        <v/>
      </c>
      <c r="G236" s="21" t="n"/>
      <c r="H236" s="21" t="n"/>
      <c r="I236" s="21" t="n"/>
      <c r="J236" s="21" t="n"/>
      <c r="K236" s="21" t="n"/>
      <c r="L236" s="21" t="n"/>
      <c r="M236" s="22" t="n"/>
    </row>
    <row r="237">
      <c r="A237" s="19" t="n">
        <v>232</v>
      </c>
      <c r="B237" s="20">
        <f>IF(DATE(Анкета!$C$12,1,1)+231&gt;DATE(Анкета!$C$12,12,31),"",DATE(Анкета!$C$12,1,1)+231)</f>
        <v/>
      </c>
      <c r="C237" s="19">
        <f>IF(B237="","",CHOOSE(WEEKDAY(B237,2),"понедельник","вторник","среда","четверг","пятница","суббота","воскресенье"))</f>
        <v/>
      </c>
      <c r="D237" s="19">
        <f>IF(B237="","",WEEKNUM(B237,21))</f>
        <v/>
      </c>
      <c r="E237" s="19">
        <f>IF(B237="","",MONTH(B237))</f>
        <v/>
      </c>
      <c r="F237" s="19">
        <f>IF(B237="","",IF(WEEKDAY(B237,2)&gt;=6,"вых","раб"))</f>
        <v/>
      </c>
      <c r="G237" s="21" t="n"/>
      <c r="H237" s="21" t="n"/>
      <c r="I237" s="21" t="n"/>
      <c r="J237" s="21" t="n"/>
      <c r="K237" s="21" t="n"/>
      <c r="L237" s="21" t="n"/>
      <c r="M237" s="22" t="n"/>
    </row>
    <row r="238">
      <c r="A238" s="19" t="n">
        <v>233</v>
      </c>
      <c r="B238" s="20">
        <f>IF(DATE(Анкета!$C$12,1,1)+232&gt;DATE(Анкета!$C$12,12,31),"",DATE(Анкета!$C$12,1,1)+232)</f>
        <v/>
      </c>
      <c r="C238" s="19">
        <f>IF(B238="","",CHOOSE(WEEKDAY(B238,2),"понедельник","вторник","среда","четверг","пятница","суббота","воскресенье"))</f>
        <v/>
      </c>
      <c r="D238" s="19">
        <f>IF(B238="","",WEEKNUM(B238,21))</f>
        <v/>
      </c>
      <c r="E238" s="19">
        <f>IF(B238="","",MONTH(B238))</f>
        <v/>
      </c>
      <c r="F238" s="19">
        <f>IF(B238="","",IF(WEEKDAY(B238,2)&gt;=6,"вых","раб"))</f>
        <v/>
      </c>
      <c r="G238" s="21" t="n"/>
      <c r="H238" s="21" t="n"/>
      <c r="I238" s="21" t="n"/>
      <c r="J238" s="21" t="n"/>
      <c r="K238" s="21" t="n"/>
      <c r="L238" s="21" t="n"/>
      <c r="M238" s="22" t="n"/>
    </row>
    <row r="239">
      <c r="A239" s="19" t="n">
        <v>234</v>
      </c>
      <c r="B239" s="20">
        <f>IF(DATE(Анкета!$C$12,1,1)+233&gt;DATE(Анкета!$C$12,12,31),"",DATE(Анкета!$C$12,1,1)+233)</f>
        <v/>
      </c>
      <c r="C239" s="19">
        <f>IF(B239="","",CHOOSE(WEEKDAY(B239,2),"понедельник","вторник","среда","четверг","пятница","суббота","воскресенье"))</f>
        <v/>
      </c>
      <c r="D239" s="19">
        <f>IF(B239="","",WEEKNUM(B239,21))</f>
        <v/>
      </c>
      <c r="E239" s="19">
        <f>IF(B239="","",MONTH(B239))</f>
        <v/>
      </c>
      <c r="F239" s="19">
        <f>IF(B239="","",IF(WEEKDAY(B239,2)&gt;=6,"вых","раб"))</f>
        <v/>
      </c>
      <c r="G239" s="21" t="n"/>
      <c r="H239" s="21" t="n"/>
      <c r="I239" s="21" t="n"/>
      <c r="J239" s="21" t="n"/>
      <c r="K239" s="21" t="n"/>
      <c r="L239" s="21" t="n"/>
      <c r="M239" s="22" t="n"/>
    </row>
    <row r="240">
      <c r="A240" s="19" t="n">
        <v>235</v>
      </c>
      <c r="B240" s="20">
        <f>IF(DATE(Анкета!$C$12,1,1)+234&gt;DATE(Анкета!$C$12,12,31),"",DATE(Анкета!$C$12,1,1)+234)</f>
        <v/>
      </c>
      <c r="C240" s="19">
        <f>IF(B240="","",CHOOSE(WEEKDAY(B240,2),"понедельник","вторник","среда","четверг","пятница","суббота","воскресенье"))</f>
        <v/>
      </c>
      <c r="D240" s="19">
        <f>IF(B240="","",WEEKNUM(B240,21))</f>
        <v/>
      </c>
      <c r="E240" s="19">
        <f>IF(B240="","",MONTH(B240))</f>
        <v/>
      </c>
      <c r="F240" s="19">
        <f>IF(B240="","",IF(WEEKDAY(B240,2)&gt;=6,"вых","раб"))</f>
        <v/>
      </c>
      <c r="G240" s="21" t="n"/>
      <c r="H240" s="21" t="n"/>
      <c r="I240" s="21" t="n"/>
      <c r="J240" s="21" t="n"/>
      <c r="K240" s="21" t="n"/>
      <c r="L240" s="21" t="n"/>
      <c r="M240" s="22" t="n"/>
    </row>
    <row r="241">
      <c r="A241" s="19" t="n">
        <v>236</v>
      </c>
      <c r="B241" s="20">
        <f>IF(DATE(Анкета!$C$12,1,1)+235&gt;DATE(Анкета!$C$12,12,31),"",DATE(Анкета!$C$12,1,1)+235)</f>
        <v/>
      </c>
      <c r="C241" s="19">
        <f>IF(B241="","",CHOOSE(WEEKDAY(B241,2),"понедельник","вторник","среда","четверг","пятница","суббота","воскресенье"))</f>
        <v/>
      </c>
      <c r="D241" s="19">
        <f>IF(B241="","",WEEKNUM(B241,21))</f>
        <v/>
      </c>
      <c r="E241" s="19">
        <f>IF(B241="","",MONTH(B241))</f>
        <v/>
      </c>
      <c r="F241" s="19">
        <f>IF(B241="","",IF(WEEKDAY(B241,2)&gt;=6,"вых","раб"))</f>
        <v/>
      </c>
      <c r="G241" s="21" t="n"/>
      <c r="H241" s="21" t="n"/>
      <c r="I241" s="21" t="n"/>
      <c r="J241" s="21" t="n"/>
      <c r="K241" s="21" t="n"/>
      <c r="L241" s="21" t="n"/>
      <c r="M241" s="22" t="n"/>
    </row>
    <row r="242">
      <c r="A242" s="19" t="n">
        <v>237</v>
      </c>
      <c r="B242" s="20">
        <f>IF(DATE(Анкета!$C$12,1,1)+236&gt;DATE(Анкета!$C$12,12,31),"",DATE(Анкета!$C$12,1,1)+236)</f>
        <v/>
      </c>
      <c r="C242" s="19">
        <f>IF(B242="","",CHOOSE(WEEKDAY(B242,2),"понедельник","вторник","среда","четверг","пятница","суббота","воскресенье"))</f>
        <v/>
      </c>
      <c r="D242" s="19">
        <f>IF(B242="","",WEEKNUM(B242,21))</f>
        <v/>
      </c>
      <c r="E242" s="19">
        <f>IF(B242="","",MONTH(B242))</f>
        <v/>
      </c>
      <c r="F242" s="19">
        <f>IF(B242="","",IF(WEEKDAY(B242,2)&gt;=6,"вых","раб"))</f>
        <v/>
      </c>
      <c r="G242" s="21" t="n"/>
      <c r="H242" s="21" t="n"/>
      <c r="I242" s="21" t="n"/>
      <c r="J242" s="21" t="n"/>
      <c r="K242" s="21" t="n"/>
      <c r="L242" s="21" t="n"/>
      <c r="M242" s="22" t="n"/>
    </row>
    <row r="243">
      <c r="A243" s="19" t="n">
        <v>238</v>
      </c>
      <c r="B243" s="20">
        <f>IF(DATE(Анкета!$C$12,1,1)+237&gt;DATE(Анкета!$C$12,12,31),"",DATE(Анкета!$C$12,1,1)+237)</f>
        <v/>
      </c>
      <c r="C243" s="19">
        <f>IF(B243="","",CHOOSE(WEEKDAY(B243,2),"понедельник","вторник","среда","четверг","пятница","суббота","воскресенье"))</f>
        <v/>
      </c>
      <c r="D243" s="19">
        <f>IF(B243="","",WEEKNUM(B243,21))</f>
        <v/>
      </c>
      <c r="E243" s="19">
        <f>IF(B243="","",MONTH(B243))</f>
        <v/>
      </c>
      <c r="F243" s="19">
        <f>IF(B243="","",IF(WEEKDAY(B243,2)&gt;=6,"вых","раб"))</f>
        <v/>
      </c>
      <c r="G243" s="21" t="n"/>
      <c r="H243" s="21" t="n"/>
      <c r="I243" s="21" t="n"/>
      <c r="J243" s="21" t="n"/>
      <c r="K243" s="21" t="n"/>
      <c r="L243" s="21" t="n"/>
      <c r="M243" s="22" t="n"/>
    </row>
    <row r="244">
      <c r="A244" s="19" t="n">
        <v>239</v>
      </c>
      <c r="B244" s="20">
        <f>IF(DATE(Анкета!$C$12,1,1)+238&gt;DATE(Анкета!$C$12,12,31),"",DATE(Анкета!$C$12,1,1)+238)</f>
        <v/>
      </c>
      <c r="C244" s="19">
        <f>IF(B244="","",CHOOSE(WEEKDAY(B244,2),"понедельник","вторник","среда","четверг","пятница","суббота","воскресенье"))</f>
        <v/>
      </c>
      <c r="D244" s="19">
        <f>IF(B244="","",WEEKNUM(B244,21))</f>
        <v/>
      </c>
      <c r="E244" s="19">
        <f>IF(B244="","",MONTH(B244))</f>
        <v/>
      </c>
      <c r="F244" s="19">
        <f>IF(B244="","",IF(WEEKDAY(B244,2)&gt;=6,"вых","раб"))</f>
        <v/>
      </c>
      <c r="G244" s="21" t="n"/>
      <c r="H244" s="21" t="n"/>
      <c r="I244" s="21" t="n"/>
      <c r="J244" s="21" t="n"/>
      <c r="K244" s="21" t="n"/>
      <c r="L244" s="21" t="n"/>
      <c r="M244" s="22" t="n"/>
    </row>
    <row r="245">
      <c r="A245" s="19" t="n">
        <v>240</v>
      </c>
      <c r="B245" s="20">
        <f>IF(DATE(Анкета!$C$12,1,1)+239&gt;DATE(Анкета!$C$12,12,31),"",DATE(Анкета!$C$12,1,1)+239)</f>
        <v/>
      </c>
      <c r="C245" s="19">
        <f>IF(B245="","",CHOOSE(WEEKDAY(B245,2),"понедельник","вторник","среда","четверг","пятница","суббота","воскресенье"))</f>
        <v/>
      </c>
      <c r="D245" s="19">
        <f>IF(B245="","",WEEKNUM(B245,21))</f>
        <v/>
      </c>
      <c r="E245" s="19">
        <f>IF(B245="","",MONTH(B245))</f>
        <v/>
      </c>
      <c r="F245" s="19">
        <f>IF(B245="","",IF(WEEKDAY(B245,2)&gt;=6,"вых","раб"))</f>
        <v/>
      </c>
      <c r="G245" s="21" t="n"/>
      <c r="H245" s="21" t="n"/>
      <c r="I245" s="21" t="n"/>
      <c r="J245" s="21" t="n"/>
      <c r="K245" s="21" t="n"/>
      <c r="L245" s="21" t="n"/>
      <c r="M245" s="22" t="n"/>
    </row>
    <row r="246">
      <c r="A246" s="19" t="n">
        <v>241</v>
      </c>
      <c r="B246" s="20">
        <f>IF(DATE(Анкета!$C$12,1,1)+240&gt;DATE(Анкета!$C$12,12,31),"",DATE(Анкета!$C$12,1,1)+240)</f>
        <v/>
      </c>
      <c r="C246" s="19">
        <f>IF(B246="","",CHOOSE(WEEKDAY(B246,2),"понедельник","вторник","среда","четверг","пятница","суббота","воскресенье"))</f>
        <v/>
      </c>
      <c r="D246" s="19">
        <f>IF(B246="","",WEEKNUM(B246,21))</f>
        <v/>
      </c>
      <c r="E246" s="19">
        <f>IF(B246="","",MONTH(B246))</f>
        <v/>
      </c>
      <c r="F246" s="19">
        <f>IF(B246="","",IF(WEEKDAY(B246,2)&gt;=6,"вых","раб"))</f>
        <v/>
      </c>
      <c r="G246" s="21" t="n"/>
      <c r="H246" s="21" t="n"/>
      <c r="I246" s="21" t="n"/>
      <c r="J246" s="21" t="n"/>
      <c r="K246" s="21" t="n"/>
      <c r="L246" s="21" t="n"/>
      <c r="M246" s="22" t="n"/>
    </row>
    <row r="247">
      <c r="A247" s="19" t="n">
        <v>242</v>
      </c>
      <c r="B247" s="20">
        <f>IF(DATE(Анкета!$C$12,1,1)+241&gt;DATE(Анкета!$C$12,12,31),"",DATE(Анкета!$C$12,1,1)+241)</f>
        <v/>
      </c>
      <c r="C247" s="19">
        <f>IF(B247="","",CHOOSE(WEEKDAY(B247,2),"понедельник","вторник","среда","четверг","пятница","суббота","воскресенье"))</f>
        <v/>
      </c>
      <c r="D247" s="19">
        <f>IF(B247="","",WEEKNUM(B247,21))</f>
        <v/>
      </c>
      <c r="E247" s="19">
        <f>IF(B247="","",MONTH(B247))</f>
        <v/>
      </c>
      <c r="F247" s="19">
        <f>IF(B247="","",IF(WEEKDAY(B247,2)&gt;=6,"вых","раб"))</f>
        <v/>
      </c>
      <c r="G247" s="21" t="n"/>
      <c r="H247" s="21" t="n"/>
      <c r="I247" s="21" t="n"/>
      <c r="J247" s="21" t="n"/>
      <c r="K247" s="21" t="n"/>
      <c r="L247" s="21" t="n"/>
      <c r="M247" s="22" t="n"/>
    </row>
    <row r="248">
      <c r="A248" s="19" t="n">
        <v>243</v>
      </c>
      <c r="B248" s="20">
        <f>IF(DATE(Анкета!$C$12,1,1)+242&gt;DATE(Анкета!$C$12,12,31),"",DATE(Анкета!$C$12,1,1)+242)</f>
        <v/>
      </c>
      <c r="C248" s="19">
        <f>IF(B248="","",CHOOSE(WEEKDAY(B248,2),"понедельник","вторник","среда","четверг","пятница","суббота","воскресенье"))</f>
        <v/>
      </c>
      <c r="D248" s="19">
        <f>IF(B248="","",WEEKNUM(B248,21))</f>
        <v/>
      </c>
      <c r="E248" s="19">
        <f>IF(B248="","",MONTH(B248))</f>
        <v/>
      </c>
      <c r="F248" s="19">
        <f>IF(B248="","",IF(WEEKDAY(B248,2)&gt;=6,"вых","раб"))</f>
        <v/>
      </c>
      <c r="G248" s="21" t="n"/>
      <c r="H248" s="21" t="n"/>
      <c r="I248" s="21" t="n"/>
      <c r="J248" s="21" t="n"/>
      <c r="K248" s="21" t="n"/>
      <c r="L248" s="21" t="n"/>
      <c r="M248" s="22" t="n"/>
    </row>
    <row r="249">
      <c r="A249" s="19" t="n">
        <v>244</v>
      </c>
      <c r="B249" s="20">
        <f>IF(DATE(Анкета!$C$12,1,1)+243&gt;DATE(Анкета!$C$12,12,31),"",DATE(Анкета!$C$12,1,1)+243)</f>
        <v/>
      </c>
      <c r="C249" s="19">
        <f>IF(B249="","",CHOOSE(WEEKDAY(B249,2),"понедельник","вторник","среда","четверг","пятница","суббота","воскресенье"))</f>
        <v/>
      </c>
      <c r="D249" s="19">
        <f>IF(B249="","",WEEKNUM(B249,21))</f>
        <v/>
      </c>
      <c r="E249" s="19">
        <f>IF(B249="","",MONTH(B249))</f>
        <v/>
      </c>
      <c r="F249" s="19">
        <f>IF(B249="","",IF(WEEKDAY(B249,2)&gt;=6,"вых","раб"))</f>
        <v/>
      </c>
      <c r="G249" s="21" t="n"/>
      <c r="H249" s="21" t="n"/>
      <c r="I249" s="21" t="n"/>
      <c r="J249" s="21" t="n"/>
      <c r="K249" s="21" t="n"/>
      <c r="L249" s="21" t="n"/>
      <c r="M249" s="22" t="n"/>
    </row>
    <row r="250">
      <c r="A250" s="19" t="n">
        <v>245</v>
      </c>
      <c r="B250" s="20">
        <f>IF(DATE(Анкета!$C$12,1,1)+244&gt;DATE(Анкета!$C$12,12,31),"",DATE(Анкета!$C$12,1,1)+244)</f>
        <v/>
      </c>
      <c r="C250" s="19">
        <f>IF(B250="","",CHOOSE(WEEKDAY(B250,2),"понедельник","вторник","среда","четверг","пятница","суббота","воскресенье"))</f>
        <v/>
      </c>
      <c r="D250" s="19">
        <f>IF(B250="","",WEEKNUM(B250,21))</f>
        <v/>
      </c>
      <c r="E250" s="19">
        <f>IF(B250="","",MONTH(B250))</f>
        <v/>
      </c>
      <c r="F250" s="19">
        <f>IF(B250="","",IF(WEEKDAY(B250,2)&gt;=6,"вых","раб"))</f>
        <v/>
      </c>
      <c r="G250" s="21" t="n"/>
      <c r="H250" s="21" t="n"/>
      <c r="I250" s="21" t="n"/>
      <c r="J250" s="21" t="n"/>
      <c r="K250" s="21" t="n"/>
      <c r="L250" s="21" t="n"/>
      <c r="M250" s="22" t="n"/>
    </row>
    <row r="251">
      <c r="A251" s="19" t="n">
        <v>246</v>
      </c>
      <c r="B251" s="20">
        <f>IF(DATE(Анкета!$C$12,1,1)+245&gt;DATE(Анкета!$C$12,12,31),"",DATE(Анкета!$C$12,1,1)+245)</f>
        <v/>
      </c>
      <c r="C251" s="19">
        <f>IF(B251="","",CHOOSE(WEEKDAY(B251,2),"понедельник","вторник","среда","четверг","пятница","суббота","воскресенье"))</f>
        <v/>
      </c>
      <c r="D251" s="19">
        <f>IF(B251="","",WEEKNUM(B251,21))</f>
        <v/>
      </c>
      <c r="E251" s="19">
        <f>IF(B251="","",MONTH(B251))</f>
        <v/>
      </c>
      <c r="F251" s="19">
        <f>IF(B251="","",IF(WEEKDAY(B251,2)&gt;=6,"вых","раб"))</f>
        <v/>
      </c>
      <c r="G251" s="21" t="n"/>
      <c r="H251" s="21" t="n"/>
      <c r="I251" s="21" t="n"/>
      <c r="J251" s="21" t="n"/>
      <c r="K251" s="21" t="n"/>
      <c r="L251" s="21" t="n"/>
      <c r="M251" s="22" t="n"/>
    </row>
    <row r="252">
      <c r="A252" s="19" t="n">
        <v>247</v>
      </c>
      <c r="B252" s="20">
        <f>IF(DATE(Анкета!$C$12,1,1)+246&gt;DATE(Анкета!$C$12,12,31),"",DATE(Анкета!$C$12,1,1)+246)</f>
        <v/>
      </c>
      <c r="C252" s="19">
        <f>IF(B252="","",CHOOSE(WEEKDAY(B252,2),"понедельник","вторник","среда","четверг","пятница","суббота","воскресенье"))</f>
        <v/>
      </c>
      <c r="D252" s="19">
        <f>IF(B252="","",WEEKNUM(B252,21))</f>
        <v/>
      </c>
      <c r="E252" s="19">
        <f>IF(B252="","",MONTH(B252))</f>
        <v/>
      </c>
      <c r="F252" s="19">
        <f>IF(B252="","",IF(WEEKDAY(B252,2)&gt;=6,"вых","раб"))</f>
        <v/>
      </c>
      <c r="G252" s="21" t="n"/>
      <c r="H252" s="21" t="n"/>
      <c r="I252" s="21" t="n"/>
      <c r="J252" s="21" t="n"/>
      <c r="K252" s="21" t="n"/>
      <c r="L252" s="21" t="n"/>
      <c r="M252" s="22" t="n"/>
    </row>
    <row r="253">
      <c r="A253" s="19" t="n">
        <v>248</v>
      </c>
      <c r="B253" s="20">
        <f>IF(DATE(Анкета!$C$12,1,1)+247&gt;DATE(Анкета!$C$12,12,31),"",DATE(Анкета!$C$12,1,1)+247)</f>
        <v/>
      </c>
      <c r="C253" s="19">
        <f>IF(B253="","",CHOOSE(WEEKDAY(B253,2),"понедельник","вторник","среда","четверг","пятница","суббота","воскресенье"))</f>
        <v/>
      </c>
      <c r="D253" s="19">
        <f>IF(B253="","",WEEKNUM(B253,21))</f>
        <v/>
      </c>
      <c r="E253" s="19">
        <f>IF(B253="","",MONTH(B253))</f>
        <v/>
      </c>
      <c r="F253" s="19">
        <f>IF(B253="","",IF(WEEKDAY(B253,2)&gt;=6,"вых","раб"))</f>
        <v/>
      </c>
      <c r="G253" s="21" t="n"/>
      <c r="H253" s="21" t="n"/>
      <c r="I253" s="21" t="n"/>
      <c r="J253" s="21" t="n"/>
      <c r="K253" s="21" t="n"/>
      <c r="L253" s="21" t="n"/>
      <c r="M253" s="22" t="n"/>
    </row>
    <row r="254">
      <c r="A254" s="19" t="n">
        <v>249</v>
      </c>
      <c r="B254" s="20">
        <f>IF(DATE(Анкета!$C$12,1,1)+248&gt;DATE(Анкета!$C$12,12,31),"",DATE(Анкета!$C$12,1,1)+248)</f>
        <v/>
      </c>
      <c r="C254" s="19">
        <f>IF(B254="","",CHOOSE(WEEKDAY(B254,2),"понедельник","вторник","среда","четверг","пятница","суббота","воскресенье"))</f>
        <v/>
      </c>
      <c r="D254" s="19">
        <f>IF(B254="","",WEEKNUM(B254,21))</f>
        <v/>
      </c>
      <c r="E254" s="19">
        <f>IF(B254="","",MONTH(B254))</f>
        <v/>
      </c>
      <c r="F254" s="19">
        <f>IF(B254="","",IF(WEEKDAY(B254,2)&gt;=6,"вых","раб"))</f>
        <v/>
      </c>
      <c r="G254" s="21" t="n"/>
      <c r="H254" s="21" t="n"/>
      <c r="I254" s="21" t="n"/>
      <c r="J254" s="21" t="n"/>
      <c r="K254" s="21" t="n"/>
      <c r="L254" s="21" t="n"/>
      <c r="M254" s="22" t="n"/>
    </row>
    <row r="255">
      <c r="A255" s="19" t="n">
        <v>250</v>
      </c>
      <c r="B255" s="20">
        <f>IF(DATE(Анкета!$C$12,1,1)+249&gt;DATE(Анкета!$C$12,12,31),"",DATE(Анкета!$C$12,1,1)+249)</f>
        <v/>
      </c>
      <c r="C255" s="19">
        <f>IF(B255="","",CHOOSE(WEEKDAY(B255,2),"понедельник","вторник","среда","четверг","пятница","суббота","воскресенье"))</f>
        <v/>
      </c>
      <c r="D255" s="19">
        <f>IF(B255="","",WEEKNUM(B255,21))</f>
        <v/>
      </c>
      <c r="E255" s="19">
        <f>IF(B255="","",MONTH(B255))</f>
        <v/>
      </c>
      <c r="F255" s="19">
        <f>IF(B255="","",IF(WEEKDAY(B255,2)&gt;=6,"вых","раб"))</f>
        <v/>
      </c>
      <c r="G255" s="21" t="n"/>
      <c r="H255" s="21" t="n"/>
      <c r="I255" s="21" t="n"/>
      <c r="J255" s="21" t="n"/>
      <c r="K255" s="21" t="n"/>
      <c r="L255" s="21" t="n"/>
      <c r="M255" s="22" t="n"/>
    </row>
    <row r="256">
      <c r="A256" s="19" t="n">
        <v>251</v>
      </c>
      <c r="B256" s="20">
        <f>IF(DATE(Анкета!$C$12,1,1)+250&gt;DATE(Анкета!$C$12,12,31),"",DATE(Анкета!$C$12,1,1)+250)</f>
        <v/>
      </c>
      <c r="C256" s="19">
        <f>IF(B256="","",CHOOSE(WEEKDAY(B256,2),"понедельник","вторник","среда","четверг","пятница","суббота","воскресенье"))</f>
        <v/>
      </c>
      <c r="D256" s="19">
        <f>IF(B256="","",WEEKNUM(B256,21))</f>
        <v/>
      </c>
      <c r="E256" s="19">
        <f>IF(B256="","",MONTH(B256))</f>
        <v/>
      </c>
      <c r="F256" s="19">
        <f>IF(B256="","",IF(WEEKDAY(B256,2)&gt;=6,"вых","раб"))</f>
        <v/>
      </c>
      <c r="G256" s="21" t="n"/>
      <c r="H256" s="21" t="n"/>
      <c r="I256" s="21" t="n"/>
      <c r="J256" s="21" t="n"/>
      <c r="K256" s="21" t="n"/>
      <c r="L256" s="21" t="n"/>
      <c r="M256" s="22" t="n"/>
    </row>
    <row r="257">
      <c r="A257" s="19" t="n">
        <v>252</v>
      </c>
      <c r="B257" s="20">
        <f>IF(DATE(Анкета!$C$12,1,1)+251&gt;DATE(Анкета!$C$12,12,31),"",DATE(Анкета!$C$12,1,1)+251)</f>
        <v/>
      </c>
      <c r="C257" s="19">
        <f>IF(B257="","",CHOOSE(WEEKDAY(B257,2),"понедельник","вторник","среда","четверг","пятница","суббота","воскресенье"))</f>
        <v/>
      </c>
      <c r="D257" s="19">
        <f>IF(B257="","",WEEKNUM(B257,21))</f>
        <v/>
      </c>
      <c r="E257" s="19">
        <f>IF(B257="","",MONTH(B257))</f>
        <v/>
      </c>
      <c r="F257" s="19">
        <f>IF(B257="","",IF(WEEKDAY(B257,2)&gt;=6,"вых","раб"))</f>
        <v/>
      </c>
      <c r="G257" s="21" t="n"/>
      <c r="H257" s="21" t="n"/>
      <c r="I257" s="21" t="n"/>
      <c r="J257" s="21" t="n"/>
      <c r="K257" s="21" t="n"/>
      <c r="L257" s="21" t="n"/>
      <c r="M257" s="22" t="n"/>
    </row>
    <row r="258">
      <c r="A258" s="19" t="n">
        <v>253</v>
      </c>
      <c r="B258" s="20">
        <f>IF(DATE(Анкета!$C$12,1,1)+252&gt;DATE(Анкета!$C$12,12,31),"",DATE(Анкета!$C$12,1,1)+252)</f>
        <v/>
      </c>
      <c r="C258" s="19">
        <f>IF(B258="","",CHOOSE(WEEKDAY(B258,2),"понедельник","вторник","среда","четверг","пятница","суббота","воскресенье"))</f>
        <v/>
      </c>
      <c r="D258" s="19">
        <f>IF(B258="","",WEEKNUM(B258,21))</f>
        <v/>
      </c>
      <c r="E258" s="19">
        <f>IF(B258="","",MONTH(B258))</f>
        <v/>
      </c>
      <c r="F258" s="19">
        <f>IF(B258="","",IF(WEEKDAY(B258,2)&gt;=6,"вых","раб"))</f>
        <v/>
      </c>
      <c r="G258" s="21" t="n"/>
      <c r="H258" s="21" t="n"/>
      <c r="I258" s="21" t="n"/>
      <c r="J258" s="21" t="n"/>
      <c r="K258" s="21" t="n"/>
      <c r="L258" s="21" t="n"/>
      <c r="M258" s="22" t="n"/>
    </row>
    <row r="259">
      <c r="A259" s="19" t="n">
        <v>254</v>
      </c>
      <c r="B259" s="20">
        <f>IF(DATE(Анкета!$C$12,1,1)+253&gt;DATE(Анкета!$C$12,12,31),"",DATE(Анкета!$C$12,1,1)+253)</f>
        <v/>
      </c>
      <c r="C259" s="19">
        <f>IF(B259="","",CHOOSE(WEEKDAY(B259,2),"понедельник","вторник","среда","четверг","пятница","суббота","воскресенье"))</f>
        <v/>
      </c>
      <c r="D259" s="19">
        <f>IF(B259="","",WEEKNUM(B259,21))</f>
        <v/>
      </c>
      <c r="E259" s="19">
        <f>IF(B259="","",MONTH(B259))</f>
        <v/>
      </c>
      <c r="F259" s="19">
        <f>IF(B259="","",IF(WEEKDAY(B259,2)&gt;=6,"вых","раб"))</f>
        <v/>
      </c>
      <c r="G259" s="21" t="n"/>
      <c r="H259" s="21" t="n"/>
      <c r="I259" s="21" t="n"/>
      <c r="J259" s="21" t="n"/>
      <c r="K259" s="21" t="n"/>
      <c r="L259" s="21" t="n"/>
      <c r="M259" s="22" t="n"/>
    </row>
    <row r="260">
      <c r="A260" s="19" t="n">
        <v>255</v>
      </c>
      <c r="B260" s="20">
        <f>IF(DATE(Анкета!$C$12,1,1)+254&gt;DATE(Анкета!$C$12,12,31),"",DATE(Анкета!$C$12,1,1)+254)</f>
        <v/>
      </c>
      <c r="C260" s="19">
        <f>IF(B260="","",CHOOSE(WEEKDAY(B260,2),"понедельник","вторник","среда","четверг","пятница","суббота","воскресенье"))</f>
        <v/>
      </c>
      <c r="D260" s="19">
        <f>IF(B260="","",WEEKNUM(B260,21))</f>
        <v/>
      </c>
      <c r="E260" s="19">
        <f>IF(B260="","",MONTH(B260))</f>
        <v/>
      </c>
      <c r="F260" s="19">
        <f>IF(B260="","",IF(WEEKDAY(B260,2)&gt;=6,"вых","раб"))</f>
        <v/>
      </c>
      <c r="G260" s="21" t="n"/>
      <c r="H260" s="21" t="n"/>
      <c r="I260" s="21" t="n"/>
      <c r="J260" s="21" t="n"/>
      <c r="K260" s="21" t="n"/>
      <c r="L260" s="21" t="n"/>
      <c r="M260" s="22" t="n"/>
    </row>
    <row r="261">
      <c r="A261" s="19" t="n">
        <v>256</v>
      </c>
      <c r="B261" s="20">
        <f>IF(DATE(Анкета!$C$12,1,1)+255&gt;DATE(Анкета!$C$12,12,31),"",DATE(Анкета!$C$12,1,1)+255)</f>
        <v/>
      </c>
      <c r="C261" s="19">
        <f>IF(B261="","",CHOOSE(WEEKDAY(B261,2),"понедельник","вторник","среда","четверг","пятница","суббота","воскресенье"))</f>
        <v/>
      </c>
      <c r="D261" s="19">
        <f>IF(B261="","",WEEKNUM(B261,21))</f>
        <v/>
      </c>
      <c r="E261" s="19">
        <f>IF(B261="","",MONTH(B261))</f>
        <v/>
      </c>
      <c r="F261" s="19">
        <f>IF(B261="","",IF(WEEKDAY(B261,2)&gt;=6,"вых","раб"))</f>
        <v/>
      </c>
      <c r="G261" s="21" t="n"/>
      <c r="H261" s="21" t="n"/>
      <c r="I261" s="21" t="n"/>
      <c r="J261" s="21" t="n"/>
      <c r="K261" s="21" t="n"/>
      <c r="L261" s="21" t="n"/>
      <c r="M261" s="22" t="n"/>
    </row>
    <row r="262">
      <c r="A262" s="19" t="n">
        <v>257</v>
      </c>
      <c r="B262" s="20">
        <f>IF(DATE(Анкета!$C$12,1,1)+256&gt;DATE(Анкета!$C$12,12,31),"",DATE(Анкета!$C$12,1,1)+256)</f>
        <v/>
      </c>
      <c r="C262" s="19">
        <f>IF(B262="","",CHOOSE(WEEKDAY(B262,2),"понедельник","вторник","среда","четверг","пятница","суббота","воскресенье"))</f>
        <v/>
      </c>
      <c r="D262" s="19">
        <f>IF(B262="","",WEEKNUM(B262,21))</f>
        <v/>
      </c>
      <c r="E262" s="19">
        <f>IF(B262="","",MONTH(B262))</f>
        <v/>
      </c>
      <c r="F262" s="19">
        <f>IF(B262="","",IF(WEEKDAY(B262,2)&gt;=6,"вых","раб"))</f>
        <v/>
      </c>
      <c r="G262" s="21" t="n"/>
      <c r="H262" s="21" t="n"/>
      <c r="I262" s="21" t="n"/>
      <c r="J262" s="21" t="n"/>
      <c r="K262" s="21" t="n"/>
      <c r="L262" s="21" t="n"/>
      <c r="M262" s="22" t="n"/>
    </row>
    <row r="263">
      <c r="A263" s="19" t="n">
        <v>258</v>
      </c>
      <c r="B263" s="20">
        <f>IF(DATE(Анкета!$C$12,1,1)+257&gt;DATE(Анкета!$C$12,12,31),"",DATE(Анкета!$C$12,1,1)+257)</f>
        <v/>
      </c>
      <c r="C263" s="19">
        <f>IF(B263="","",CHOOSE(WEEKDAY(B263,2),"понедельник","вторник","среда","четверг","пятница","суббота","воскресенье"))</f>
        <v/>
      </c>
      <c r="D263" s="19">
        <f>IF(B263="","",WEEKNUM(B263,21))</f>
        <v/>
      </c>
      <c r="E263" s="19">
        <f>IF(B263="","",MONTH(B263))</f>
        <v/>
      </c>
      <c r="F263" s="19">
        <f>IF(B263="","",IF(WEEKDAY(B263,2)&gt;=6,"вых","раб"))</f>
        <v/>
      </c>
      <c r="G263" s="21" t="n"/>
      <c r="H263" s="21" t="n"/>
      <c r="I263" s="21" t="n"/>
      <c r="J263" s="21" t="n"/>
      <c r="K263" s="21" t="n"/>
      <c r="L263" s="21" t="n"/>
      <c r="M263" s="22" t="n"/>
    </row>
    <row r="264">
      <c r="A264" s="19" t="n">
        <v>259</v>
      </c>
      <c r="B264" s="20">
        <f>IF(DATE(Анкета!$C$12,1,1)+258&gt;DATE(Анкета!$C$12,12,31),"",DATE(Анкета!$C$12,1,1)+258)</f>
        <v/>
      </c>
      <c r="C264" s="19">
        <f>IF(B264="","",CHOOSE(WEEKDAY(B264,2),"понедельник","вторник","среда","четверг","пятница","суббота","воскресенье"))</f>
        <v/>
      </c>
      <c r="D264" s="19">
        <f>IF(B264="","",WEEKNUM(B264,21))</f>
        <v/>
      </c>
      <c r="E264" s="19">
        <f>IF(B264="","",MONTH(B264))</f>
        <v/>
      </c>
      <c r="F264" s="19">
        <f>IF(B264="","",IF(WEEKDAY(B264,2)&gt;=6,"вых","раб"))</f>
        <v/>
      </c>
      <c r="G264" s="21" t="n"/>
      <c r="H264" s="21" t="n"/>
      <c r="I264" s="21" t="n"/>
      <c r="J264" s="21" t="n"/>
      <c r="K264" s="21" t="n"/>
      <c r="L264" s="21" t="n"/>
      <c r="M264" s="22" t="n"/>
    </row>
    <row r="265">
      <c r="A265" s="19" t="n">
        <v>260</v>
      </c>
      <c r="B265" s="20">
        <f>IF(DATE(Анкета!$C$12,1,1)+259&gt;DATE(Анкета!$C$12,12,31),"",DATE(Анкета!$C$12,1,1)+259)</f>
        <v/>
      </c>
      <c r="C265" s="19">
        <f>IF(B265="","",CHOOSE(WEEKDAY(B265,2),"понедельник","вторник","среда","четверг","пятница","суббота","воскресенье"))</f>
        <v/>
      </c>
      <c r="D265" s="19">
        <f>IF(B265="","",WEEKNUM(B265,21))</f>
        <v/>
      </c>
      <c r="E265" s="19">
        <f>IF(B265="","",MONTH(B265))</f>
        <v/>
      </c>
      <c r="F265" s="19">
        <f>IF(B265="","",IF(WEEKDAY(B265,2)&gt;=6,"вых","раб"))</f>
        <v/>
      </c>
      <c r="G265" s="21" t="n"/>
      <c r="H265" s="21" t="n"/>
      <c r="I265" s="21" t="n"/>
      <c r="J265" s="21" t="n"/>
      <c r="K265" s="21" t="n"/>
      <c r="L265" s="21" t="n"/>
      <c r="M265" s="22" t="n"/>
    </row>
    <row r="266">
      <c r="A266" s="19" t="n">
        <v>261</v>
      </c>
      <c r="B266" s="20">
        <f>IF(DATE(Анкета!$C$12,1,1)+260&gt;DATE(Анкета!$C$12,12,31),"",DATE(Анкета!$C$12,1,1)+260)</f>
        <v/>
      </c>
      <c r="C266" s="19">
        <f>IF(B266="","",CHOOSE(WEEKDAY(B266,2),"понедельник","вторник","среда","четверг","пятница","суббота","воскресенье"))</f>
        <v/>
      </c>
      <c r="D266" s="19">
        <f>IF(B266="","",WEEKNUM(B266,21))</f>
        <v/>
      </c>
      <c r="E266" s="19">
        <f>IF(B266="","",MONTH(B266))</f>
        <v/>
      </c>
      <c r="F266" s="19">
        <f>IF(B266="","",IF(WEEKDAY(B266,2)&gt;=6,"вых","раб"))</f>
        <v/>
      </c>
      <c r="G266" s="21" t="n"/>
      <c r="H266" s="21" t="n"/>
      <c r="I266" s="21" t="n"/>
      <c r="J266" s="21" t="n"/>
      <c r="K266" s="21" t="n"/>
      <c r="L266" s="21" t="n"/>
      <c r="M266" s="22" t="n"/>
    </row>
    <row r="267">
      <c r="A267" s="19" t="n">
        <v>262</v>
      </c>
      <c r="B267" s="20">
        <f>IF(DATE(Анкета!$C$12,1,1)+261&gt;DATE(Анкета!$C$12,12,31),"",DATE(Анкета!$C$12,1,1)+261)</f>
        <v/>
      </c>
      <c r="C267" s="19">
        <f>IF(B267="","",CHOOSE(WEEKDAY(B267,2),"понедельник","вторник","среда","четверг","пятница","суббота","воскресенье"))</f>
        <v/>
      </c>
      <c r="D267" s="19">
        <f>IF(B267="","",WEEKNUM(B267,21))</f>
        <v/>
      </c>
      <c r="E267" s="19">
        <f>IF(B267="","",MONTH(B267))</f>
        <v/>
      </c>
      <c r="F267" s="19">
        <f>IF(B267="","",IF(WEEKDAY(B267,2)&gt;=6,"вых","раб"))</f>
        <v/>
      </c>
      <c r="G267" s="21" t="n"/>
      <c r="H267" s="21" t="n"/>
      <c r="I267" s="21" t="n"/>
      <c r="J267" s="21" t="n"/>
      <c r="K267" s="21" t="n"/>
      <c r="L267" s="21" t="n"/>
      <c r="M267" s="22" t="n"/>
    </row>
    <row r="268">
      <c r="A268" s="19" t="n">
        <v>263</v>
      </c>
      <c r="B268" s="20">
        <f>IF(DATE(Анкета!$C$12,1,1)+262&gt;DATE(Анкета!$C$12,12,31),"",DATE(Анкета!$C$12,1,1)+262)</f>
        <v/>
      </c>
      <c r="C268" s="19">
        <f>IF(B268="","",CHOOSE(WEEKDAY(B268,2),"понедельник","вторник","среда","четверг","пятница","суббота","воскресенье"))</f>
        <v/>
      </c>
      <c r="D268" s="19">
        <f>IF(B268="","",WEEKNUM(B268,21))</f>
        <v/>
      </c>
      <c r="E268" s="19">
        <f>IF(B268="","",MONTH(B268))</f>
        <v/>
      </c>
      <c r="F268" s="19">
        <f>IF(B268="","",IF(WEEKDAY(B268,2)&gt;=6,"вых","раб"))</f>
        <v/>
      </c>
      <c r="G268" s="21" t="n"/>
      <c r="H268" s="21" t="n"/>
      <c r="I268" s="21" t="n"/>
      <c r="J268" s="21" t="n"/>
      <c r="K268" s="21" t="n"/>
      <c r="L268" s="21" t="n"/>
      <c r="M268" s="22" t="n"/>
    </row>
    <row r="269">
      <c r="A269" s="19" t="n">
        <v>264</v>
      </c>
      <c r="B269" s="20">
        <f>IF(DATE(Анкета!$C$12,1,1)+263&gt;DATE(Анкета!$C$12,12,31),"",DATE(Анкета!$C$12,1,1)+263)</f>
        <v/>
      </c>
      <c r="C269" s="19">
        <f>IF(B269="","",CHOOSE(WEEKDAY(B269,2),"понедельник","вторник","среда","четверг","пятница","суббота","воскресенье"))</f>
        <v/>
      </c>
      <c r="D269" s="19">
        <f>IF(B269="","",WEEKNUM(B269,21))</f>
        <v/>
      </c>
      <c r="E269" s="19">
        <f>IF(B269="","",MONTH(B269))</f>
        <v/>
      </c>
      <c r="F269" s="19">
        <f>IF(B269="","",IF(WEEKDAY(B269,2)&gt;=6,"вых","раб"))</f>
        <v/>
      </c>
      <c r="G269" s="21" t="n"/>
      <c r="H269" s="21" t="n"/>
      <c r="I269" s="21" t="n"/>
      <c r="J269" s="21" t="n"/>
      <c r="K269" s="21" t="n"/>
      <c r="L269" s="21" t="n"/>
      <c r="M269" s="22" t="n"/>
    </row>
    <row r="270">
      <c r="A270" s="19" t="n">
        <v>265</v>
      </c>
      <c r="B270" s="20">
        <f>IF(DATE(Анкета!$C$12,1,1)+264&gt;DATE(Анкета!$C$12,12,31),"",DATE(Анкета!$C$12,1,1)+264)</f>
        <v/>
      </c>
      <c r="C270" s="19">
        <f>IF(B270="","",CHOOSE(WEEKDAY(B270,2),"понедельник","вторник","среда","четверг","пятница","суббота","воскресенье"))</f>
        <v/>
      </c>
      <c r="D270" s="19">
        <f>IF(B270="","",WEEKNUM(B270,21))</f>
        <v/>
      </c>
      <c r="E270" s="19">
        <f>IF(B270="","",MONTH(B270))</f>
        <v/>
      </c>
      <c r="F270" s="19">
        <f>IF(B270="","",IF(WEEKDAY(B270,2)&gt;=6,"вых","раб"))</f>
        <v/>
      </c>
      <c r="G270" s="21" t="n"/>
      <c r="H270" s="21" t="n"/>
      <c r="I270" s="21" t="n"/>
      <c r="J270" s="21" t="n"/>
      <c r="K270" s="21" t="n"/>
      <c r="L270" s="21" t="n"/>
      <c r="M270" s="22" t="n"/>
    </row>
    <row r="271">
      <c r="A271" s="19" t="n">
        <v>266</v>
      </c>
      <c r="B271" s="20">
        <f>IF(DATE(Анкета!$C$12,1,1)+265&gt;DATE(Анкета!$C$12,12,31),"",DATE(Анкета!$C$12,1,1)+265)</f>
        <v/>
      </c>
      <c r="C271" s="19">
        <f>IF(B271="","",CHOOSE(WEEKDAY(B271,2),"понедельник","вторник","среда","четверг","пятница","суббота","воскресенье"))</f>
        <v/>
      </c>
      <c r="D271" s="19">
        <f>IF(B271="","",WEEKNUM(B271,21))</f>
        <v/>
      </c>
      <c r="E271" s="19">
        <f>IF(B271="","",MONTH(B271))</f>
        <v/>
      </c>
      <c r="F271" s="19">
        <f>IF(B271="","",IF(WEEKDAY(B271,2)&gt;=6,"вых","раб"))</f>
        <v/>
      </c>
      <c r="G271" s="21" t="n"/>
      <c r="H271" s="21" t="n"/>
      <c r="I271" s="21" t="n"/>
      <c r="J271" s="21" t="n"/>
      <c r="K271" s="21" t="n"/>
      <c r="L271" s="21" t="n"/>
      <c r="M271" s="22" t="n"/>
    </row>
    <row r="272">
      <c r="A272" s="19" t="n">
        <v>267</v>
      </c>
      <c r="B272" s="20">
        <f>IF(DATE(Анкета!$C$12,1,1)+266&gt;DATE(Анкета!$C$12,12,31),"",DATE(Анкета!$C$12,1,1)+266)</f>
        <v/>
      </c>
      <c r="C272" s="19">
        <f>IF(B272="","",CHOOSE(WEEKDAY(B272,2),"понедельник","вторник","среда","четверг","пятница","суббота","воскресенье"))</f>
        <v/>
      </c>
      <c r="D272" s="19">
        <f>IF(B272="","",WEEKNUM(B272,21))</f>
        <v/>
      </c>
      <c r="E272" s="19">
        <f>IF(B272="","",MONTH(B272))</f>
        <v/>
      </c>
      <c r="F272" s="19">
        <f>IF(B272="","",IF(WEEKDAY(B272,2)&gt;=6,"вых","раб"))</f>
        <v/>
      </c>
      <c r="G272" s="21" t="n"/>
      <c r="H272" s="21" t="n"/>
      <c r="I272" s="21" t="n"/>
      <c r="J272" s="21" t="n"/>
      <c r="K272" s="21" t="n"/>
      <c r="L272" s="21" t="n"/>
      <c r="M272" s="22" t="n"/>
    </row>
    <row r="273">
      <c r="A273" s="19" t="n">
        <v>268</v>
      </c>
      <c r="B273" s="20">
        <f>IF(DATE(Анкета!$C$12,1,1)+267&gt;DATE(Анкета!$C$12,12,31),"",DATE(Анкета!$C$12,1,1)+267)</f>
        <v/>
      </c>
      <c r="C273" s="19">
        <f>IF(B273="","",CHOOSE(WEEKDAY(B273,2),"понедельник","вторник","среда","четверг","пятница","суббота","воскресенье"))</f>
        <v/>
      </c>
      <c r="D273" s="19">
        <f>IF(B273="","",WEEKNUM(B273,21))</f>
        <v/>
      </c>
      <c r="E273" s="19">
        <f>IF(B273="","",MONTH(B273))</f>
        <v/>
      </c>
      <c r="F273" s="19">
        <f>IF(B273="","",IF(WEEKDAY(B273,2)&gt;=6,"вых","раб"))</f>
        <v/>
      </c>
      <c r="G273" s="21" t="n"/>
      <c r="H273" s="21" t="n"/>
      <c r="I273" s="21" t="n"/>
      <c r="J273" s="21" t="n"/>
      <c r="K273" s="21" t="n"/>
      <c r="L273" s="21" t="n"/>
      <c r="M273" s="22" t="n"/>
    </row>
    <row r="274">
      <c r="A274" s="19" t="n">
        <v>269</v>
      </c>
      <c r="B274" s="20">
        <f>IF(DATE(Анкета!$C$12,1,1)+268&gt;DATE(Анкета!$C$12,12,31),"",DATE(Анкета!$C$12,1,1)+268)</f>
        <v/>
      </c>
      <c r="C274" s="19">
        <f>IF(B274="","",CHOOSE(WEEKDAY(B274,2),"понедельник","вторник","среда","четверг","пятница","суббота","воскресенье"))</f>
        <v/>
      </c>
      <c r="D274" s="19">
        <f>IF(B274="","",WEEKNUM(B274,21))</f>
        <v/>
      </c>
      <c r="E274" s="19">
        <f>IF(B274="","",MONTH(B274))</f>
        <v/>
      </c>
      <c r="F274" s="19">
        <f>IF(B274="","",IF(WEEKDAY(B274,2)&gt;=6,"вых","раб"))</f>
        <v/>
      </c>
      <c r="G274" s="21" t="n"/>
      <c r="H274" s="21" t="n"/>
      <c r="I274" s="21" t="n"/>
      <c r="J274" s="21" t="n"/>
      <c r="K274" s="21" t="n"/>
      <c r="L274" s="21" t="n"/>
      <c r="M274" s="22" t="n"/>
    </row>
    <row r="275">
      <c r="A275" s="19" t="n">
        <v>270</v>
      </c>
      <c r="B275" s="20">
        <f>IF(DATE(Анкета!$C$12,1,1)+269&gt;DATE(Анкета!$C$12,12,31),"",DATE(Анкета!$C$12,1,1)+269)</f>
        <v/>
      </c>
      <c r="C275" s="19">
        <f>IF(B275="","",CHOOSE(WEEKDAY(B275,2),"понедельник","вторник","среда","четверг","пятница","суббота","воскресенье"))</f>
        <v/>
      </c>
      <c r="D275" s="19">
        <f>IF(B275="","",WEEKNUM(B275,21))</f>
        <v/>
      </c>
      <c r="E275" s="19">
        <f>IF(B275="","",MONTH(B275))</f>
        <v/>
      </c>
      <c r="F275" s="19">
        <f>IF(B275="","",IF(WEEKDAY(B275,2)&gt;=6,"вых","раб"))</f>
        <v/>
      </c>
      <c r="G275" s="21" t="n"/>
      <c r="H275" s="21" t="n"/>
      <c r="I275" s="21" t="n"/>
      <c r="J275" s="21" t="n"/>
      <c r="K275" s="21" t="n"/>
      <c r="L275" s="21" t="n"/>
      <c r="M275" s="22" t="n"/>
    </row>
    <row r="276">
      <c r="A276" s="19" t="n">
        <v>271</v>
      </c>
      <c r="B276" s="20">
        <f>IF(DATE(Анкета!$C$12,1,1)+270&gt;DATE(Анкета!$C$12,12,31),"",DATE(Анкета!$C$12,1,1)+270)</f>
        <v/>
      </c>
      <c r="C276" s="19">
        <f>IF(B276="","",CHOOSE(WEEKDAY(B276,2),"понедельник","вторник","среда","четверг","пятница","суббота","воскресенье"))</f>
        <v/>
      </c>
      <c r="D276" s="19">
        <f>IF(B276="","",WEEKNUM(B276,21))</f>
        <v/>
      </c>
      <c r="E276" s="19">
        <f>IF(B276="","",MONTH(B276))</f>
        <v/>
      </c>
      <c r="F276" s="19">
        <f>IF(B276="","",IF(WEEKDAY(B276,2)&gt;=6,"вых","раб"))</f>
        <v/>
      </c>
      <c r="G276" s="21" t="n"/>
      <c r="H276" s="21" t="n"/>
      <c r="I276" s="21" t="n"/>
      <c r="J276" s="21" t="n"/>
      <c r="K276" s="21" t="n"/>
      <c r="L276" s="21" t="n"/>
      <c r="M276" s="22" t="n"/>
    </row>
    <row r="277">
      <c r="A277" s="19" t="n">
        <v>272</v>
      </c>
      <c r="B277" s="20">
        <f>IF(DATE(Анкета!$C$12,1,1)+271&gt;DATE(Анкета!$C$12,12,31),"",DATE(Анкета!$C$12,1,1)+271)</f>
        <v/>
      </c>
      <c r="C277" s="19">
        <f>IF(B277="","",CHOOSE(WEEKDAY(B277,2),"понедельник","вторник","среда","четверг","пятница","суббота","воскресенье"))</f>
        <v/>
      </c>
      <c r="D277" s="19">
        <f>IF(B277="","",WEEKNUM(B277,21))</f>
        <v/>
      </c>
      <c r="E277" s="19">
        <f>IF(B277="","",MONTH(B277))</f>
        <v/>
      </c>
      <c r="F277" s="19">
        <f>IF(B277="","",IF(WEEKDAY(B277,2)&gt;=6,"вых","раб"))</f>
        <v/>
      </c>
      <c r="G277" s="21" t="n"/>
      <c r="H277" s="21" t="n"/>
      <c r="I277" s="21" t="n"/>
      <c r="J277" s="21" t="n"/>
      <c r="K277" s="21" t="n"/>
      <c r="L277" s="21" t="n"/>
      <c r="M277" s="22" t="n"/>
    </row>
    <row r="278">
      <c r="A278" s="19" t="n">
        <v>273</v>
      </c>
      <c r="B278" s="20">
        <f>IF(DATE(Анкета!$C$12,1,1)+272&gt;DATE(Анкета!$C$12,12,31),"",DATE(Анкета!$C$12,1,1)+272)</f>
        <v/>
      </c>
      <c r="C278" s="19">
        <f>IF(B278="","",CHOOSE(WEEKDAY(B278,2),"понедельник","вторник","среда","четверг","пятница","суббота","воскресенье"))</f>
        <v/>
      </c>
      <c r="D278" s="19">
        <f>IF(B278="","",WEEKNUM(B278,21))</f>
        <v/>
      </c>
      <c r="E278" s="19">
        <f>IF(B278="","",MONTH(B278))</f>
        <v/>
      </c>
      <c r="F278" s="19">
        <f>IF(B278="","",IF(WEEKDAY(B278,2)&gt;=6,"вых","раб"))</f>
        <v/>
      </c>
      <c r="G278" s="21" t="n"/>
      <c r="H278" s="21" t="n"/>
      <c r="I278" s="21" t="n"/>
      <c r="J278" s="21" t="n"/>
      <c r="K278" s="21" t="n"/>
      <c r="L278" s="21" t="n"/>
      <c r="M278" s="22" t="n"/>
    </row>
    <row r="279">
      <c r="A279" s="19" t="n">
        <v>274</v>
      </c>
      <c r="B279" s="20">
        <f>IF(DATE(Анкета!$C$12,1,1)+273&gt;DATE(Анкета!$C$12,12,31),"",DATE(Анкета!$C$12,1,1)+273)</f>
        <v/>
      </c>
      <c r="C279" s="19">
        <f>IF(B279="","",CHOOSE(WEEKDAY(B279,2),"понедельник","вторник","среда","четверг","пятница","суббота","воскресенье"))</f>
        <v/>
      </c>
      <c r="D279" s="19">
        <f>IF(B279="","",WEEKNUM(B279,21))</f>
        <v/>
      </c>
      <c r="E279" s="19">
        <f>IF(B279="","",MONTH(B279))</f>
        <v/>
      </c>
      <c r="F279" s="19">
        <f>IF(B279="","",IF(WEEKDAY(B279,2)&gt;=6,"вых","раб"))</f>
        <v/>
      </c>
      <c r="G279" s="21" t="n"/>
      <c r="H279" s="21" t="n"/>
      <c r="I279" s="21" t="n"/>
      <c r="J279" s="21" t="n"/>
      <c r="K279" s="21" t="n"/>
      <c r="L279" s="21" t="n"/>
      <c r="M279" s="22" t="n"/>
    </row>
    <row r="280">
      <c r="A280" s="19" t="n">
        <v>275</v>
      </c>
      <c r="B280" s="20">
        <f>IF(DATE(Анкета!$C$12,1,1)+274&gt;DATE(Анкета!$C$12,12,31),"",DATE(Анкета!$C$12,1,1)+274)</f>
        <v/>
      </c>
      <c r="C280" s="19">
        <f>IF(B280="","",CHOOSE(WEEKDAY(B280,2),"понедельник","вторник","среда","четверг","пятница","суббота","воскресенье"))</f>
        <v/>
      </c>
      <c r="D280" s="19">
        <f>IF(B280="","",WEEKNUM(B280,21))</f>
        <v/>
      </c>
      <c r="E280" s="19">
        <f>IF(B280="","",MONTH(B280))</f>
        <v/>
      </c>
      <c r="F280" s="19">
        <f>IF(B280="","",IF(WEEKDAY(B280,2)&gt;=6,"вых","раб"))</f>
        <v/>
      </c>
      <c r="G280" s="21" t="n"/>
      <c r="H280" s="21" t="n"/>
      <c r="I280" s="21" t="n"/>
      <c r="J280" s="21" t="n"/>
      <c r="K280" s="21" t="n"/>
      <c r="L280" s="21" t="n"/>
      <c r="M280" s="22" t="n"/>
    </row>
    <row r="281">
      <c r="A281" s="19" t="n">
        <v>276</v>
      </c>
      <c r="B281" s="20">
        <f>IF(DATE(Анкета!$C$12,1,1)+275&gt;DATE(Анкета!$C$12,12,31),"",DATE(Анкета!$C$12,1,1)+275)</f>
        <v/>
      </c>
      <c r="C281" s="19">
        <f>IF(B281="","",CHOOSE(WEEKDAY(B281,2),"понедельник","вторник","среда","четверг","пятница","суббота","воскресенье"))</f>
        <v/>
      </c>
      <c r="D281" s="19">
        <f>IF(B281="","",WEEKNUM(B281,21))</f>
        <v/>
      </c>
      <c r="E281" s="19">
        <f>IF(B281="","",MONTH(B281))</f>
        <v/>
      </c>
      <c r="F281" s="19">
        <f>IF(B281="","",IF(WEEKDAY(B281,2)&gt;=6,"вых","раб"))</f>
        <v/>
      </c>
      <c r="G281" s="21" t="n"/>
      <c r="H281" s="21" t="n"/>
      <c r="I281" s="21" t="n"/>
      <c r="J281" s="21" t="n"/>
      <c r="K281" s="21" t="n"/>
      <c r="L281" s="21" t="n"/>
      <c r="M281" s="22" t="n"/>
    </row>
    <row r="282">
      <c r="A282" s="19" t="n">
        <v>277</v>
      </c>
      <c r="B282" s="20">
        <f>IF(DATE(Анкета!$C$12,1,1)+276&gt;DATE(Анкета!$C$12,12,31),"",DATE(Анкета!$C$12,1,1)+276)</f>
        <v/>
      </c>
      <c r="C282" s="19">
        <f>IF(B282="","",CHOOSE(WEEKDAY(B282,2),"понедельник","вторник","среда","четверг","пятница","суббота","воскресенье"))</f>
        <v/>
      </c>
      <c r="D282" s="19">
        <f>IF(B282="","",WEEKNUM(B282,21))</f>
        <v/>
      </c>
      <c r="E282" s="19">
        <f>IF(B282="","",MONTH(B282))</f>
        <v/>
      </c>
      <c r="F282" s="19">
        <f>IF(B282="","",IF(WEEKDAY(B282,2)&gt;=6,"вых","раб"))</f>
        <v/>
      </c>
      <c r="G282" s="21" t="n"/>
      <c r="H282" s="21" t="n"/>
      <c r="I282" s="21" t="n"/>
      <c r="J282" s="21" t="n"/>
      <c r="K282" s="21" t="n"/>
      <c r="L282" s="21" t="n"/>
      <c r="M282" s="22" t="n"/>
    </row>
    <row r="283">
      <c r="A283" s="19" t="n">
        <v>278</v>
      </c>
      <c r="B283" s="20">
        <f>IF(DATE(Анкета!$C$12,1,1)+277&gt;DATE(Анкета!$C$12,12,31),"",DATE(Анкета!$C$12,1,1)+277)</f>
        <v/>
      </c>
      <c r="C283" s="19">
        <f>IF(B283="","",CHOOSE(WEEKDAY(B283,2),"понедельник","вторник","среда","четверг","пятница","суббота","воскресенье"))</f>
        <v/>
      </c>
      <c r="D283" s="19">
        <f>IF(B283="","",WEEKNUM(B283,21))</f>
        <v/>
      </c>
      <c r="E283" s="19">
        <f>IF(B283="","",MONTH(B283))</f>
        <v/>
      </c>
      <c r="F283" s="19">
        <f>IF(B283="","",IF(WEEKDAY(B283,2)&gt;=6,"вых","раб"))</f>
        <v/>
      </c>
      <c r="G283" s="21" t="n"/>
      <c r="H283" s="21" t="n"/>
      <c r="I283" s="21" t="n"/>
      <c r="J283" s="21" t="n"/>
      <c r="K283" s="21" t="n"/>
      <c r="L283" s="21" t="n"/>
      <c r="M283" s="22" t="n"/>
    </row>
    <row r="284">
      <c r="A284" s="19" t="n">
        <v>279</v>
      </c>
      <c r="B284" s="20">
        <f>IF(DATE(Анкета!$C$12,1,1)+278&gt;DATE(Анкета!$C$12,12,31),"",DATE(Анкета!$C$12,1,1)+278)</f>
        <v/>
      </c>
      <c r="C284" s="19">
        <f>IF(B284="","",CHOOSE(WEEKDAY(B284,2),"понедельник","вторник","среда","четверг","пятница","суббота","воскресенье"))</f>
        <v/>
      </c>
      <c r="D284" s="19">
        <f>IF(B284="","",WEEKNUM(B284,21))</f>
        <v/>
      </c>
      <c r="E284" s="19">
        <f>IF(B284="","",MONTH(B284))</f>
        <v/>
      </c>
      <c r="F284" s="19">
        <f>IF(B284="","",IF(WEEKDAY(B284,2)&gt;=6,"вых","раб"))</f>
        <v/>
      </c>
      <c r="G284" s="21" t="n"/>
      <c r="H284" s="21" t="n"/>
      <c r="I284" s="21" t="n"/>
      <c r="J284" s="21" t="n"/>
      <c r="K284" s="21" t="n"/>
      <c r="L284" s="21" t="n"/>
      <c r="M284" s="22" t="n"/>
    </row>
    <row r="285">
      <c r="A285" s="19" t="n">
        <v>280</v>
      </c>
      <c r="B285" s="20">
        <f>IF(DATE(Анкета!$C$12,1,1)+279&gt;DATE(Анкета!$C$12,12,31),"",DATE(Анкета!$C$12,1,1)+279)</f>
        <v/>
      </c>
      <c r="C285" s="19">
        <f>IF(B285="","",CHOOSE(WEEKDAY(B285,2),"понедельник","вторник","среда","четверг","пятница","суббота","воскресенье"))</f>
        <v/>
      </c>
      <c r="D285" s="19">
        <f>IF(B285="","",WEEKNUM(B285,21))</f>
        <v/>
      </c>
      <c r="E285" s="19">
        <f>IF(B285="","",MONTH(B285))</f>
        <v/>
      </c>
      <c r="F285" s="19">
        <f>IF(B285="","",IF(WEEKDAY(B285,2)&gt;=6,"вых","раб"))</f>
        <v/>
      </c>
      <c r="G285" s="21" t="n"/>
      <c r="H285" s="21" t="n"/>
      <c r="I285" s="21" t="n"/>
      <c r="J285" s="21" t="n"/>
      <c r="K285" s="21" t="n"/>
      <c r="L285" s="21" t="n"/>
      <c r="M285" s="22" t="n"/>
    </row>
    <row r="286">
      <c r="A286" s="19" t="n">
        <v>281</v>
      </c>
      <c r="B286" s="20">
        <f>IF(DATE(Анкета!$C$12,1,1)+280&gt;DATE(Анкета!$C$12,12,31),"",DATE(Анкета!$C$12,1,1)+280)</f>
        <v/>
      </c>
      <c r="C286" s="19">
        <f>IF(B286="","",CHOOSE(WEEKDAY(B286,2),"понедельник","вторник","среда","четверг","пятница","суббота","воскресенье"))</f>
        <v/>
      </c>
      <c r="D286" s="19">
        <f>IF(B286="","",WEEKNUM(B286,21))</f>
        <v/>
      </c>
      <c r="E286" s="19">
        <f>IF(B286="","",MONTH(B286))</f>
        <v/>
      </c>
      <c r="F286" s="19">
        <f>IF(B286="","",IF(WEEKDAY(B286,2)&gt;=6,"вых","раб"))</f>
        <v/>
      </c>
      <c r="G286" s="21" t="n"/>
      <c r="H286" s="21" t="n"/>
      <c r="I286" s="21" t="n"/>
      <c r="J286" s="21" t="n"/>
      <c r="K286" s="21" t="n"/>
      <c r="L286" s="21" t="n"/>
      <c r="M286" s="22" t="n"/>
    </row>
    <row r="287">
      <c r="A287" s="19" t="n">
        <v>282</v>
      </c>
      <c r="B287" s="20">
        <f>IF(DATE(Анкета!$C$12,1,1)+281&gt;DATE(Анкета!$C$12,12,31),"",DATE(Анкета!$C$12,1,1)+281)</f>
        <v/>
      </c>
      <c r="C287" s="19">
        <f>IF(B287="","",CHOOSE(WEEKDAY(B287,2),"понедельник","вторник","среда","четверг","пятница","суббота","воскресенье"))</f>
        <v/>
      </c>
      <c r="D287" s="19">
        <f>IF(B287="","",WEEKNUM(B287,21))</f>
        <v/>
      </c>
      <c r="E287" s="19">
        <f>IF(B287="","",MONTH(B287))</f>
        <v/>
      </c>
      <c r="F287" s="19">
        <f>IF(B287="","",IF(WEEKDAY(B287,2)&gt;=6,"вых","раб"))</f>
        <v/>
      </c>
      <c r="G287" s="21" t="n"/>
      <c r="H287" s="21" t="n"/>
      <c r="I287" s="21" t="n"/>
      <c r="J287" s="21" t="n"/>
      <c r="K287" s="21" t="n"/>
      <c r="L287" s="21" t="n"/>
      <c r="M287" s="22" t="n"/>
    </row>
    <row r="288">
      <c r="A288" s="19" t="n">
        <v>283</v>
      </c>
      <c r="B288" s="20">
        <f>IF(DATE(Анкета!$C$12,1,1)+282&gt;DATE(Анкета!$C$12,12,31),"",DATE(Анкета!$C$12,1,1)+282)</f>
        <v/>
      </c>
      <c r="C288" s="19">
        <f>IF(B288="","",CHOOSE(WEEKDAY(B288,2),"понедельник","вторник","среда","четверг","пятница","суббота","воскресенье"))</f>
        <v/>
      </c>
      <c r="D288" s="19">
        <f>IF(B288="","",WEEKNUM(B288,21))</f>
        <v/>
      </c>
      <c r="E288" s="19">
        <f>IF(B288="","",MONTH(B288))</f>
        <v/>
      </c>
      <c r="F288" s="19">
        <f>IF(B288="","",IF(WEEKDAY(B288,2)&gt;=6,"вых","раб"))</f>
        <v/>
      </c>
      <c r="G288" s="21" t="n"/>
      <c r="H288" s="21" t="n"/>
      <c r="I288" s="21" t="n"/>
      <c r="J288" s="21" t="n"/>
      <c r="K288" s="21" t="n"/>
      <c r="L288" s="21" t="n"/>
      <c r="M288" s="22" t="n"/>
    </row>
    <row r="289">
      <c r="A289" s="19" t="n">
        <v>284</v>
      </c>
      <c r="B289" s="20">
        <f>IF(DATE(Анкета!$C$12,1,1)+283&gt;DATE(Анкета!$C$12,12,31),"",DATE(Анкета!$C$12,1,1)+283)</f>
        <v/>
      </c>
      <c r="C289" s="19">
        <f>IF(B289="","",CHOOSE(WEEKDAY(B289,2),"понедельник","вторник","среда","четверг","пятница","суббота","воскресенье"))</f>
        <v/>
      </c>
      <c r="D289" s="19">
        <f>IF(B289="","",WEEKNUM(B289,21))</f>
        <v/>
      </c>
      <c r="E289" s="19">
        <f>IF(B289="","",MONTH(B289))</f>
        <v/>
      </c>
      <c r="F289" s="19">
        <f>IF(B289="","",IF(WEEKDAY(B289,2)&gt;=6,"вых","раб"))</f>
        <v/>
      </c>
      <c r="G289" s="21" t="n"/>
      <c r="H289" s="21" t="n"/>
      <c r="I289" s="21" t="n"/>
      <c r="J289" s="21" t="n"/>
      <c r="K289" s="21" t="n"/>
      <c r="L289" s="21" t="n"/>
      <c r="M289" s="22" t="n"/>
    </row>
    <row r="290">
      <c r="A290" s="19" t="n">
        <v>285</v>
      </c>
      <c r="B290" s="20">
        <f>IF(DATE(Анкета!$C$12,1,1)+284&gt;DATE(Анкета!$C$12,12,31),"",DATE(Анкета!$C$12,1,1)+284)</f>
        <v/>
      </c>
      <c r="C290" s="19">
        <f>IF(B290="","",CHOOSE(WEEKDAY(B290,2),"понедельник","вторник","среда","четверг","пятница","суббота","воскресенье"))</f>
        <v/>
      </c>
      <c r="D290" s="19">
        <f>IF(B290="","",WEEKNUM(B290,21))</f>
        <v/>
      </c>
      <c r="E290" s="19">
        <f>IF(B290="","",MONTH(B290))</f>
        <v/>
      </c>
      <c r="F290" s="19">
        <f>IF(B290="","",IF(WEEKDAY(B290,2)&gt;=6,"вых","раб"))</f>
        <v/>
      </c>
      <c r="G290" s="21" t="n"/>
      <c r="H290" s="21" t="n"/>
      <c r="I290" s="21" t="n"/>
      <c r="J290" s="21" t="n"/>
      <c r="K290" s="21" t="n"/>
      <c r="L290" s="21" t="n"/>
      <c r="M290" s="22" t="n"/>
    </row>
    <row r="291">
      <c r="A291" s="19" t="n">
        <v>286</v>
      </c>
      <c r="B291" s="20">
        <f>IF(DATE(Анкета!$C$12,1,1)+285&gt;DATE(Анкета!$C$12,12,31),"",DATE(Анкета!$C$12,1,1)+285)</f>
        <v/>
      </c>
      <c r="C291" s="19">
        <f>IF(B291="","",CHOOSE(WEEKDAY(B291,2),"понедельник","вторник","среда","четверг","пятница","суббота","воскресенье"))</f>
        <v/>
      </c>
      <c r="D291" s="19">
        <f>IF(B291="","",WEEKNUM(B291,21))</f>
        <v/>
      </c>
      <c r="E291" s="19">
        <f>IF(B291="","",MONTH(B291))</f>
        <v/>
      </c>
      <c r="F291" s="19">
        <f>IF(B291="","",IF(WEEKDAY(B291,2)&gt;=6,"вых","раб"))</f>
        <v/>
      </c>
      <c r="G291" s="21" t="n"/>
      <c r="H291" s="21" t="n"/>
      <c r="I291" s="21" t="n"/>
      <c r="J291" s="21" t="n"/>
      <c r="K291" s="21" t="n"/>
      <c r="L291" s="21" t="n"/>
      <c r="M291" s="22" t="n"/>
    </row>
    <row r="292">
      <c r="A292" s="19" t="n">
        <v>287</v>
      </c>
      <c r="B292" s="20">
        <f>IF(DATE(Анкета!$C$12,1,1)+286&gt;DATE(Анкета!$C$12,12,31),"",DATE(Анкета!$C$12,1,1)+286)</f>
        <v/>
      </c>
      <c r="C292" s="19">
        <f>IF(B292="","",CHOOSE(WEEKDAY(B292,2),"понедельник","вторник","среда","четверг","пятница","суббота","воскресенье"))</f>
        <v/>
      </c>
      <c r="D292" s="19">
        <f>IF(B292="","",WEEKNUM(B292,21))</f>
        <v/>
      </c>
      <c r="E292" s="19">
        <f>IF(B292="","",MONTH(B292))</f>
        <v/>
      </c>
      <c r="F292" s="19">
        <f>IF(B292="","",IF(WEEKDAY(B292,2)&gt;=6,"вых","раб"))</f>
        <v/>
      </c>
      <c r="G292" s="21" t="n"/>
      <c r="H292" s="21" t="n"/>
      <c r="I292" s="21" t="n"/>
      <c r="J292" s="21" t="n"/>
      <c r="K292" s="21" t="n"/>
      <c r="L292" s="21" t="n"/>
      <c r="M292" s="22" t="n"/>
    </row>
    <row r="293">
      <c r="A293" s="19" t="n">
        <v>288</v>
      </c>
      <c r="B293" s="20">
        <f>IF(DATE(Анкета!$C$12,1,1)+287&gt;DATE(Анкета!$C$12,12,31),"",DATE(Анкета!$C$12,1,1)+287)</f>
        <v/>
      </c>
      <c r="C293" s="19">
        <f>IF(B293="","",CHOOSE(WEEKDAY(B293,2),"понедельник","вторник","среда","четверг","пятница","суббота","воскресенье"))</f>
        <v/>
      </c>
      <c r="D293" s="19">
        <f>IF(B293="","",WEEKNUM(B293,21))</f>
        <v/>
      </c>
      <c r="E293" s="19">
        <f>IF(B293="","",MONTH(B293))</f>
        <v/>
      </c>
      <c r="F293" s="19">
        <f>IF(B293="","",IF(WEEKDAY(B293,2)&gt;=6,"вых","раб"))</f>
        <v/>
      </c>
      <c r="G293" s="21" t="n"/>
      <c r="H293" s="21" t="n"/>
      <c r="I293" s="21" t="n"/>
      <c r="J293" s="21" t="n"/>
      <c r="K293" s="21" t="n"/>
      <c r="L293" s="21" t="n"/>
      <c r="M293" s="22" t="n"/>
    </row>
    <row r="294">
      <c r="A294" s="19" t="n">
        <v>289</v>
      </c>
      <c r="B294" s="20">
        <f>IF(DATE(Анкета!$C$12,1,1)+288&gt;DATE(Анкета!$C$12,12,31),"",DATE(Анкета!$C$12,1,1)+288)</f>
        <v/>
      </c>
      <c r="C294" s="19">
        <f>IF(B294="","",CHOOSE(WEEKDAY(B294,2),"понедельник","вторник","среда","четверг","пятница","суббота","воскресенье"))</f>
        <v/>
      </c>
      <c r="D294" s="19">
        <f>IF(B294="","",WEEKNUM(B294,21))</f>
        <v/>
      </c>
      <c r="E294" s="19">
        <f>IF(B294="","",MONTH(B294))</f>
        <v/>
      </c>
      <c r="F294" s="19">
        <f>IF(B294="","",IF(WEEKDAY(B294,2)&gt;=6,"вых","раб"))</f>
        <v/>
      </c>
      <c r="G294" s="21" t="n"/>
      <c r="H294" s="21" t="n"/>
      <c r="I294" s="21" t="n"/>
      <c r="J294" s="21" t="n"/>
      <c r="K294" s="21" t="n"/>
      <c r="L294" s="21" t="n"/>
      <c r="M294" s="22" t="n"/>
    </row>
    <row r="295">
      <c r="A295" s="19" t="n">
        <v>290</v>
      </c>
      <c r="B295" s="20">
        <f>IF(DATE(Анкета!$C$12,1,1)+289&gt;DATE(Анкета!$C$12,12,31),"",DATE(Анкета!$C$12,1,1)+289)</f>
        <v/>
      </c>
      <c r="C295" s="19">
        <f>IF(B295="","",CHOOSE(WEEKDAY(B295,2),"понедельник","вторник","среда","четверг","пятница","суббота","воскресенье"))</f>
        <v/>
      </c>
      <c r="D295" s="19">
        <f>IF(B295="","",WEEKNUM(B295,21))</f>
        <v/>
      </c>
      <c r="E295" s="19">
        <f>IF(B295="","",MONTH(B295))</f>
        <v/>
      </c>
      <c r="F295" s="19">
        <f>IF(B295="","",IF(WEEKDAY(B295,2)&gt;=6,"вых","раб"))</f>
        <v/>
      </c>
      <c r="G295" s="21" t="n"/>
      <c r="H295" s="21" t="n"/>
      <c r="I295" s="21" t="n"/>
      <c r="J295" s="21" t="n"/>
      <c r="K295" s="21" t="n"/>
      <c r="L295" s="21" t="n"/>
      <c r="M295" s="22" t="n"/>
    </row>
    <row r="296">
      <c r="A296" s="19" t="n">
        <v>291</v>
      </c>
      <c r="B296" s="20">
        <f>IF(DATE(Анкета!$C$12,1,1)+290&gt;DATE(Анкета!$C$12,12,31),"",DATE(Анкета!$C$12,1,1)+290)</f>
        <v/>
      </c>
      <c r="C296" s="19">
        <f>IF(B296="","",CHOOSE(WEEKDAY(B296,2),"понедельник","вторник","среда","четверг","пятница","суббота","воскресенье"))</f>
        <v/>
      </c>
      <c r="D296" s="19">
        <f>IF(B296="","",WEEKNUM(B296,21))</f>
        <v/>
      </c>
      <c r="E296" s="19">
        <f>IF(B296="","",MONTH(B296))</f>
        <v/>
      </c>
      <c r="F296" s="19">
        <f>IF(B296="","",IF(WEEKDAY(B296,2)&gt;=6,"вых","раб"))</f>
        <v/>
      </c>
      <c r="G296" s="21" t="n"/>
      <c r="H296" s="21" t="n"/>
      <c r="I296" s="21" t="n"/>
      <c r="J296" s="21" t="n"/>
      <c r="K296" s="21" t="n"/>
      <c r="L296" s="21" t="n"/>
      <c r="M296" s="22" t="n"/>
    </row>
    <row r="297">
      <c r="A297" s="19" t="n">
        <v>292</v>
      </c>
      <c r="B297" s="20">
        <f>IF(DATE(Анкета!$C$12,1,1)+291&gt;DATE(Анкета!$C$12,12,31),"",DATE(Анкета!$C$12,1,1)+291)</f>
        <v/>
      </c>
      <c r="C297" s="19">
        <f>IF(B297="","",CHOOSE(WEEKDAY(B297,2),"понедельник","вторник","среда","четверг","пятница","суббота","воскресенье"))</f>
        <v/>
      </c>
      <c r="D297" s="19">
        <f>IF(B297="","",WEEKNUM(B297,21))</f>
        <v/>
      </c>
      <c r="E297" s="19">
        <f>IF(B297="","",MONTH(B297))</f>
        <v/>
      </c>
      <c r="F297" s="19">
        <f>IF(B297="","",IF(WEEKDAY(B297,2)&gt;=6,"вых","раб"))</f>
        <v/>
      </c>
      <c r="G297" s="21" t="n"/>
      <c r="H297" s="21" t="n"/>
      <c r="I297" s="21" t="n"/>
      <c r="J297" s="21" t="n"/>
      <c r="K297" s="21" t="n"/>
      <c r="L297" s="21" t="n"/>
      <c r="M297" s="22" t="n"/>
    </row>
    <row r="298">
      <c r="A298" s="19" t="n">
        <v>293</v>
      </c>
      <c r="B298" s="20">
        <f>IF(DATE(Анкета!$C$12,1,1)+292&gt;DATE(Анкета!$C$12,12,31),"",DATE(Анкета!$C$12,1,1)+292)</f>
        <v/>
      </c>
      <c r="C298" s="19">
        <f>IF(B298="","",CHOOSE(WEEKDAY(B298,2),"понедельник","вторник","среда","четверг","пятница","суббота","воскресенье"))</f>
        <v/>
      </c>
      <c r="D298" s="19">
        <f>IF(B298="","",WEEKNUM(B298,21))</f>
        <v/>
      </c>
      <c r="E298" s="19">
        <f>IF(B298="","",MONTH(B298))</f>
        <v/>
      </c>
      <c r="F298" s="19">
        <f>IF(B298="","",IF(WEEKDAY(B298,2)&gt;=6,"вых","раб"))</f>
        <v/>
      </c>
      <c r="G298" s="21" t="n"/>
      <c r="H298" s="21" t="n"/>
      <c r="I298" s="21" t="n"/>
      <c r="J298" s="21" t="n"/>
      <c r="K298" s="21" t="n"/>
      <c r="L298" s="21" t="n"/>
      <c r="M298" s="22" t="n"/>
    </row>
    <row r="299">
      <c r="A299" s="19" t="n">
        <v>294</v>
      </c>
      <c r="B299" s="20">
        <f>IF(DATE(Анкета!$C$12,1,1)+293&gt;DATE(Анкета!$C$12,12,31),"",DATE(Анкета!$C$12,1,1)+293)</f>
        <v/>
      </c>
      <c r="C299" s="19">
        <f>IF(B299="","",CHOOSE(WEEKDAY(B299,2),"понедельник","вторник","среда","четверг","пятница","суббота","воскресенье"))</f>
        <v/>
      </c>
      <c r="D299" s="19">
        <f>IF(B299="","",WEEKNUM(B299,21))</f>
        <v/>
      </c>
      <c r="E299" s="19">
        <f>IF(B299="","",MONTH(B299))</f>
        <v/>
      </c>
      <c r="F299" s="19">
        <f>IF(B299="","",IF(WEEKDAY(B299,2)&gt;=6,"вых","раб"))</f>
        <v/>
      </c>
      <c r="G299" s="21" t="n"/>
      <c r="H299" s="21" t="n"/>
      <c r="I299" s="21" t="n"/>
      <c r="J299" s="21" t="n"/>
      <c r="K299" s="21" t="n"/>
      <c r="L299" s="21" t="n"/>
      <c r="M299" s="22" t="n"/>
    </row>
    <row r="300">
      <c r="A300" s="19" t="n">
        <v>295</v>
      </c>
      <c r="B300" s="20">
        <f>IF(DATE(Анкета!$C$12,1,1)+294&gt;DATE(Анкета!$C$12,12,31),"",DATE(Анкета!$C$12,1,1)+294)</f>
        <v/>
      </c>
      <c r="C300" s="19">
        <f>IF(B300="","",CHOOSE(WEEKDAY(B300,2),"понедельник","вторник","среда","четверг","пятница","суббота","воскресенье"))</f>
        <v/>
      </c>
      <c r="D300" s="19">
        <f>IF(B300="","",WEEKNUM(B300,21))</f>
        <v/>
      </c>
      <c r="E300" s="19">
        <f>IF(B300="","",MONTH(B300))</f>
        <v/>
      </c>
      <c r="F300" s="19">
        <f>IF(B300="","",IF(WEEKDAY(B300,2)&gt;=6,"вых","раб"))</f>
        <v/>
      </c>
      <c r="G300" s="21" t="n"/>
      <c r="H300" s="21" t="n"/>
      <c r="I300" s="21" t="n"/>
      <c r="J300" s="21" t="n"/>
      <c r="K300" s="21" t="n"/>
      <c r="L300" s="21" t="n"/>
      <c r="M300" s="22" t="n"/>
    </row>
    <row r="301">
      <c r="A301" s="19" t="n">
        <v>296</v>
      </c>
      <c r="B301" s="20">
        <f>IF(DATE(Анкета!$C$12,1,1)+295&gt;DATE(Анкета!$C$12,12,31),"",DATE(Анкета!$C$12,1,1)+295)</f>
        <v/>
      </c>
      <c r="C301" s="19">
        <f>IF(B301="","",CHOOSE(WEEKDAY(B301,2),"понедельник","вторник","среда","четверг","пятница","суббота","воскресенье"))</f>
        <v/>
      </c>
      <c r="D301" s="19">
        <f>IF(B301="","",WEEKNUM(B301,21))</f>
        <v/>
      </c>
      <c r="E301" s="19">
        <f>IF(B301="","",MONTH(B301))</f>
        <v/>
      </c>
      <c r="F301" s="19">
        <f>IF(B301="","",IF(WEEKDAY(B301,2)&gt;=6,"вых","раб"))</f>
        <v/>
      </c>
      <c r="G301" s="21" t="n"/>
      <c r="H301" s="21" t="n"/>
      <c r="I301" s="21" t="n"/>
      <c r="J301" s="21" t="n"/>
      <c r="K301" s="21" t="n"/>
      <c r="L301" s="21" t="n"/>
      <c r="M301" s="22" t="n"/>
    </row>
    <row r="302">
      <c r="A302" s="19" t="n">
        <v>297</v>
      </c>
      <c r="B302" s="20">
        <f>IF(DATE(Анкета!$C$12,1,1)+296&gt;DATE(Анкета!$C$12,12,31),"",DATE(Анкета!$C$12,1,1)+296)</f>
        <v/>
      </c>
      <c r="C302" s="19">
        <f>IF(B302="","",CHOOSE(WEEKDAY(B302,2),"понедельник","вторник","среда","четверг","пятница","суббота","воскресенье"))</f>
        <v/>
      </c>
      <c r="D302" s="19">
        <f>IF(B302="","",WEEKNUM(B302,21))</f>
        <v/>
      </c>
      <c r="E302" s="19">
        <f>IF(B302="","",MONTH(B302))</f>
        <v/>
      </c>
      <c r="F302" s="19">
        <f>IF(B302="","",IF(WEEKDAY(B302,2)&gt;=6,"вых","раб"))</f>
        <v/>
      </c>
      <c r="G302" s="21" t="n"/>
      <c r="H302" s="21" t="n"/>
      <c r="I302" s="21" t="n"/>
      <c r="J302" s="21" t="n"/>
      <c r="K302" s="21" t="n"/>
      <c r="L302" s="21" t="n"/>
      <c r="M302" s="22" t="n"/>
    </row>
    <row r="303">
      <c r="A303" s="19" t="n">
        <v>298</v>
      </c>
      <c r="B303" s="20">
        <f>IF(DATE(Анкета!$C$12,1,1)+297&gt;DATE(Анкета!$C$12,12,31),"",DATE(Анкета!$C$12,1,1)+297)</f>
        <v/>
      </c>
      <c r="C303" s="19">
        <f>IF(B303="","",CHOOSE(WEEKDAY(B303,2),"понедельник","вторник","среда","четверг","пятница","суббота","воскресенье"))</f>
        <v/>
      </c>
      <c r="D303" s="19">
        <f>IF(B303="","",WEEKNUM(B303,21))</f>
        <v/>
      </c>
      <c r="E303" s="19">
        <f>IF(B303="","",MONTH(B303))</f>
        <v/>
      </c>
      <c r="F303" s="19">
        <f>IF(B303="","",IF(WEEKDAY(B303,2)&gt;=6,"вых","раб"))</f>
        <v/>
      </c>
      <c r="G303" s="21" t="n"/>
      <c r="H303" s="21" t="n"/>
      <c r="I303" s="21" t="n"/>
      <c r="J303" s="21" t="n"/>
      <c r="K303" s="21" t="n"/>
      <c r="L303" s="21" t="n"/>
      <c r="M303" s="22" t="n"/>
    </row>
    <row r="304">
      <c r="A304" s="19" t="n">
        <v>299</v>
      </c>
      <c r="B304" s="20">
        <f>IF(DATE(Анкета!$C$12,1,1)+298&gt;DATE(Анкета!$C$12,12,31),"",DATE(Анкета!$C$12,1,1)+298)</f>
        <v/>
      </c>
      <c r="C304" s="19">
        <f>IF(B304="","",CHOOSE(WEEKDAY(B304,2),"понедельник","вторник","среда","четверг","пятница","суббота","воскресенье"))</f>
        <v/>
      </c>
      <c r="D304" s="19">
        <f>IF(B304="","",WEEKNUM(B304,21))</f>
        <v/>
      </c>
      <c r="E304" s="19">
        <f>IF(B304="","",MONTH(B304))</f>
        <v/>
      </c>
      <c r="F304" s="19">
        <f>IF(B304="","",IF(WEEKDAY(B304,2)&gt;=6,"вых","раб"))</f>
        <v/>
      </c>
      <c r="G304" s="21" t="n"/>
      <c r="H304" s="21" t="n"/>
      <c r="I304" s="21" t="n"/>
      <c r="J304" s="21" t="n"/>
      <c r="K304" s="21" t="n"/>
      <c r="L304" s="21" t="n"/>
      <c r="M304" s="22" t="n"/>
    </row>
    <row r="305">
      <c r="A305" s="19" t="n">
        <v>300</v>
      </c>
      <c r="B305" s="20">
        <f>IF(DATE(Анкета!$C$12,1,1)+299&gt;DATE(Анкета!$C$12,12,31),"",DATE(Анкета!$C$12,1,1)+299)</f>
        <v/>
      </c>
      <c r="C305" s="19">
        <f>IF(B305="","",CHOOSE(WEEKDAY(B305,2),"понедельник","вторник","среда","четверг","пятница","суббота","воскресенье"))</f>
        <v/>
      </c>
      <c r="D305" s="19">
        <f>IF(B305="","",WEEKNUM(B305,21))</f>
        <v/>
      </c>
      <c r="E305" s="19">
        <f>IF(B305="","",MONTH(B305))</f>
        <v/>
      </c>
      <c r="F305" s="19">
        <f>IF(B305="","",IF(WEEKDAY(B305,2)&gt;=6,"вых","раб"))</f>
        <v/>
      </c>
      <c r="G305" s="21" t="n"/>
      <c r="H305" s="21" t="n"/>
      <c r="I305" s="21" t="n"/>
      <c r="J305" s="21" t="n"/>
      <c r="K305" s="21" t="n"/>
      <c r="L305" s="21" t="n"/>
      <c r="M305" s="22" t="n"/>
    </row>
    <row r="306">
      <c r="A306" s="19" t="n">
        <v>301</v>
      </c>
      <c r="B306" s="20">
        <f>IF(DATE(Анкета!$C$12,1,1)+300&gt;DATE(Анкета!$C$12,12,31),"",DATE(Анкета!$C$12,1,1)+300)</f>
        <v/>
      </c>
      <c r="C306" s="19">
        <f>IF(B306="","",CHOOSE(WEEKDAY(B306,2),"понедельник","вторник","среда","четверг","пятница","суббота","воскресенье"))</f>
        <v/>
      </c>
      <c r="D306" s="19">
        <f>IF(B306="","",WEEKNUM(B306,21))</f>
        <v/>
      </c>
      <c r="E306" s="19">
        <f>IF(B306="","",MONTH(B306))</f>
        <v/>
      </c>
      <c r="F306" s="19">
        <f>IF(B306="","",IF(WEEKDAY(B306,2)&gt;=6,"вых","раб"))</f>
        <v/>
      </c>
      <c r="G306" s="21" t="n"/>
      <c r="H306" s="21" t="n"/>
      <c r="I306" s="21" t="n"/>
      <c r="J306" s="21" t="n"/>
      <c r="K306" s="21" t="n"/>
      <c r="L306" s="21" t="n"/>
      <c r="M306" s="22" t="n"/>
    </row>
    <row r="307">
      <c r="A307" s="19" t="n">
        <v>302</v>
      </c>
      <c r="B307" s="20">
        <f>IF(DATE(Анкета!$C$12,1,1)+301&gt;DATE(Анкета!$C$12,12,31),"",DATE(Анкета!$C$12,1,1)+301)</f>
        <v/>
      </c>
      <c r="C307" s="19">
        <f>IF(B307="","",CHOOSE(WEEKDAY(B307,2),"понедельник","вторник","среда","четверг","пятница","суббота","воскресенье"))</f>
        <v/>
      </c>
      <c r="D307" s="19">
        <f>IF(B307="","",WEEKNUM(B307,21))</f>
        <v/>
      </c>
      <c r="E307" s="19">
        <f>IF(B307="","",MONTH(B307))</f>
        <v/>
      </c>
      <c r="F307" s="19">
        <f>IF(B307="","",IF(WEEKDAY(B307,2)&gt;=6,"вых","раб"))</f>
        <v/>
      </c>
      <c r="G307" s="21" t="n"/>
      <c r="H307" s="21" t="n"/>
      <c r="I307" s="21" t="n"/>
      <c r="J307" s="21" t="n"/>
      <c r="K307" s="21" t="n"/>
      <c r="L307" s="21" t="n"/>
      <c r="M307" s="22" t="n"/>
    </row>
    <row r="308">
      <c r="A308" s="19" t="n">
        <v>303</v>
      </c>
      <c r="B308" s="20">
        <f>IF(DATE(Анкета!$C$12,1,1)+302&gt;DATE(Анкета!$C$12,12,31),"",DATE(Анкета!$C$12,1,1)+302)</f>
        <v/>
      </c>
      <c r="C308" s="19">
        <f>IF(B308="","",CHOOSE(WEEKDAY(B308,2),"понедельник","вторник","среда","четверг","пятница","суббота","воскресенье"))</f>
        <v/>
      </c>
      <c r="D308" s="19">
        <f>IF(B308="","",WEEKNUM(B308,21))</f>
        <v/>
      </c>
      <c r="E308" s="19">
        <f>IF(B308="","",MONTH(B308))</f>
        <v/>
      </c>
      <c r="F308" s="19">
        <f>IF(B308="","",IF(WEEKDAY(B308,2)&gt;=6,"вых","раб"))</f>
        <v/>
      </c>
      <c r="G308" s="21" t="n"/>
      <c r="H308" s="21" t="n"/>
      <c r="I308" s="21" t="n"/>
      <c r="J308" s="21" t="n"/>
      <c r="K308" s="21" t="n"/>
      <c r="L308" s="21" t="n"/>
      <c r="M308" s="22" t="n"/>
    </row>
    <row r="309">
      <c r="A309" s="19" t="n">
        <v>304</v>
      </c>
      <c r="B309" s="20">
        <f>IF(DATE(Анкета!$C$12,1,1)+303&gt;DATE(Анкета!$C$12,12,31),"",DATE(Анкета!$C$12,1,1)+303)</f>
        <v/>
      </c>
      <c r="C309" s="19">
        <f>IF(B309="","",CHOOSE(WEEKDAY(B309,2),"понедельник","вторник","среда","четверг","пятница","суббота","воскресенье"))</f>
        <v/>
      </c>
      <c r="D309" s="19">
        <f>IF(B309="","",WEEKNUM(B309,21))</f>
        <v/>
      </c>
      <c r="E309" s="19">
        <f>IF(B309="","",MONTH(B309))</f>
        <v/>
      </c>
      <c r="F309" s="19">
        <f>IF(B309="","",IF(WEEKDAY(B309,2)&gt;=6,"вых","раб"))</f>
        <v/>
      </c>
      <c r="G309" s="21" t="n"/>
      <c r="H309" s="21" t="n"/>
      <c r="I309" s="21" t="n"/>
      <c r="J309" s="21" t="n"/>
      <c r="K309" s="21" t="n"/>
      <c r="L309" s="21" t="n"/>
      <c r="M309" s="22" t="n"/>
    </row>
    <row r="310">
      <c r="A310" s="19" t="n">
        <v>305</v>
      </c>
      <c r="B310" s="20">
        <f>IF(DATE(Анкета!$C$12,1,1)+304&gt;DATE(Анкета!$C$12,12,31),"",DATE(Анкета!$C$12,1,1)+304)</f>
        <v/>
      </c>
      <c r="C310" s="19">
        <f>IF(B310="","",CHOOSE(WEEKDAY(B310,2),"понедельник","вторник","среда","четверг","пятница","суббота","воскресенье"))</f>
        <v/>
      </c>
      <c r="D310" s="19">
        <f>IF(B310="","",WEEKNUM(B310,21))</f>
        <v/>
      </c>
      <c r="E310" s="19">
        <f>IF(B310="","",MONTH(B310))</f>
        <v/>
      </c>
      <c r="F310" s="19">
        <f>IF(B310="","",IF(WEEKDAY(B310,2)&gt;=6,"вых","раб"))</f>
        <v/>
      </c>
      <c r="G310" s="21" t="n"/>
      <c r="H310" s="21" t="n"/>
      <c r="I310" s="21" t="n"/>
      <c r="J310" s="21" t="n"/>
      <c r="K310" s="21" t="n"/>
      <c r="L310" s="21" t="n"/>
      <c r="M310" s="22" t="n"/>
    </row>
    <row r="311">
      <c r="A311" s="19" t="n">
        <v>306</v>
      </c>
      <c r="B311" s="20">
        <f>IF(DATE(Анкета!$C$12,1,1)+305&gt;DATE(Анкета!$C$12,12,31),"",DATE(Анкета!$C$12,1,1)+305)</f>
        <v/>
      </c>
      <c r="C311" s="19">
        <f>IF(B311="","",CHOOSE(WEEKDAY(B311,2),"понедельник","вторник","среда","четверг","пятница","суббота","воскресенье"))</f>
        <v/>
      </c>
      <c r="D311" s="19">
        <f>IF(B311="","",WEEKNUM(B311,21))</f>
        <v/>
      </c>
      <c r="E311" s="19">
        <f>IF(B311="","",MONTH(B311))</f>
        <v/>
      </c>
      <c r="F311" s="19">
        <f>IF(B311="","",IF(WEEKDAY(B311,2)&gt;=6,"вых","раб"))</f>
        <v/>
      </c>
      <c r="G311" s="21" t="n"/>
      <c r="H311" s="21" t="n"/>
      <c r="I311" s="21" t="n"/>
      <c r="J311" s="21" t="n"/>
      <c r="K311" s="21" t="n"/>
      <c r="L311" s="21" t="n"/>
      <c r="M311" s="22" t="n"/>
    </row>
    <row r="312">
      <c r="A312" s="19" t="n">
        <v>307</v>
      </c>
      <c r="B312" s="20">
        <f>IF(DATE(Анкета!$C$12,1,1)+306&gt;DATE(Анкета!$C$12,12,31),"",DATE(Анкета!$C$12,1,1)+306)</f>
        <v/>
      </c>
      <c r="C312" s="19">
        <f>IF(B312="","",CHOOSE(WEEKDAY(B312,2),"понедельник","вторник","среда","четверг","пятница","суббота","воскресенье"))</f>
        <v/>
      </c>
      <c r="D312" s="19">
        <f>IF(B312="","",WEEKNUM(B312,21))</f>
        <v/>
      </c>
      <c r="E312" s="19">
        <f>IF(B312="","",MONTH(B312))</f>
        <v/>
      </c>
      <c r="F312" s="19">
        <f>IF(B312="","",IF(WEEKDAY(B312,2)&gt;=6,"вых","раб"))</f>
        <v/>
      </c>
      <c r="G312" s="21" t="n"/>
      <c r="H312" s="21" t="n"/>
      <c r="I312" s="21" t="n"/>
      <c r="J312" s="21" t="n"/>
      <c r="K312" s="21" t="n"/>
      <c r="L312" s="21" t="n"/>
      <c r="M312" s="22" t="n"/>
    </row>
    <row r="313">
      <c r="A313" s="19" t="n">
        <v>308</v>
      </c>
      <c r="B313" s="20">
        <f>IF(DATE(Анкета!$C$12,1,1)+307&gt;DATE(Анкета!$C$12,12,31),"",DATE(Анкета!$C$12,1,1)+307)</f>
        <v/>
      </c>
      <c r="C313" s="19">
        <f>IF(B313="","",CHOOSE(WEEKDAY(B313,2),"понедельник","вторник","среда","четверг","пятница","суббота","воскресенье"))</f>
        <v/>
      </c>
      <c r="D313" s="19">
        <f>IF(B313="","",WEEKNUM(B313,21))</f>
        <v/>
      </c>
      <c r="E313" s="19">
        <f>IF(B313="","",MONTH(B313))</f>
        <v/>
      </c>
      <c r="F313" s="19">
        <f>IF(B313="","",IF(WEEKDAY(B313,2)&gt;=6,"вых","раб"))</f>
        <v/>
      </c>
      <c r="G313" s="21" t="n"/>
      <c r="H313" s="21" t="n"/>
      <c r="I313" s="21" t="n"/>
      <c r="J313" s="21" t="n"/>
      <c r="K313" s="21" t="n"/>
      <c r="L313" s="21" t="n"/>
      <c r="M313" s="22" t="n"/>
    </row>
    <row r="314">
      <c r="A314" s="19" t="n">
        <v>309</v>
      </c>
      <c r="B314" s="20">
        <f>IF(DATE(Анкета!$C$12,1,1)+308&gt;DATE(Анкета!$C$12,12,31),"",DATE(Анкета!$C$12,1,1)+308)</f>
        <v/>
      </c>
      <c r="C314" s="19">
        <f>IF(B314="","",CHOOSE(WEEKDAY(B314,2),"понедельник","вторник","среда","четверг","пятница","суббота","воскресенье"))</f>
        <v/>
      </c>
      <c r="D314" s="19">
        <f>IF(B314="","",WEEKNUM(B314,21))</f>
        <v/>
      </c>
      <c r="E314" s="19">
        <f>IF(B314="","",MONTH(B314))</f>
        <v/>
      </c>
      <c r="F314" s="19">
        <f>IF(B314="","",IF(WEEKDAY(B314,2)&gt;=6,"вых","раб"))</f>
        <v/>
      </c>
      <c r="G314" s="21" t="n"/>
      <c r="H314" s="21" t="n"/>
      <c r="I314" s="21" t="n"/>
      <c r="J314" s="21" t="n"/>
      <c r="K314" s="21" t="n"/>
      <c r="L314" s="21" t="n"/>
      <c r="M314" s="22" t="n"/>
    </row>
    <row r="315">
      <c r="A315" s="19" t="n">
        <v>310</v>
      </c>
      <c r="B315" s="20">
        <f>IF(DATE(Анкета!$C$12,1,1)+309&gt;DATE(Анкета!$C$12,12,31),"",DATE(Анкета!$C$12,1,1)+309)</f>
        <v/>
      </c>
      <c r="C315" s="19">
        <f>IF(B315="","",CHOOSE(WEEKDAY(B315,2),"понедельник","вторник","среда","четверг","пятница","суббота","воскресенье"))</f>
        <v/>
      </c>
      <c r="D315" s="19">
        <f>IF(B315="","",WEEKNUM(B315,21))</f>
        <v/>
      </c>
      <c r="E315" s="19">
        <f>IF(B315="","",MONTH(B315))</f>
        <v/>
      </c>
      <c r="F315" s="19">
        <f>IF(B315="","",IF(WEEKDAY(B315,2)&gt;=6,"вых","раб"))</f>
        <v/>
      </c>
      <c r="G315" s="21" t="n"/>
      <c r="H315" s="21" t="n"/>
      <c r="I315" s="21" t="n"/>
      <c r="J315" s="21" t="n"/>
      <c r="K315" s="21" t="n"/>
      <c r="L315" s="21" t="n"/>
      <c r="M315" s="22" t="n"/>
    </row>
    <row r="316">
      <c r="A316" s="19" t="n">
        <v>311</v>
      </c>
      <c r="B316" s="20">
        <f>IF(DATE(Анкета!$C$12,1,1)+310&gt;DATE(Анкета!$C$12,12,31),"",DATE(Анкета!$C$12,1,1)+310)</f>
        <v/>
      </c>
      <c r="C316" s="19">
        <f>IF(B316="","",CHOOSE(WEEKDAY(B316,2),"понедельник","вторник","среда","четверг","пятница","суббота","воскресенье"))</f>
        <v/>
      </c>
      <c r="D316" s="19">
        <f>IF(B316="","",WEEKNUM(B316,21))</f>
        <v/>
      </c>
      <c r="E316" s="19">
        <f>IF(B316="","",MONTH(B316))</f>
        <v/>
      </c>
      <c r="F316" s="19">
        <f>IF(B316="","",IF(WEEKDAY(B316,2)&gt;=6,"вых","раб"))</f>
        <v/>
      </c>
      <c r="G316" s="21" t="n"/>
      <c r="H316" s="21" t="n"/>
      <c r="I316" s="21" t="n"/>
      <c r="J316" s="21" t="n"/>
      <c r="K316" s="21" t="n"/>
      <c r="L316" s="21" t="n"/>
      <c r="M316" s="22" t="n"/>
    </row>
    <row r="317">
      <c r="A317" s="19" t="n">
        <v>312</v>
      </c>
      <c r="B317" s="20">
        <f>IF(DATE(Анкета!$C$12,1,1)+311&gt;DATE(Анкета!$C$12,12,31),"",DATE(Анкета!$C$12,1,1)+311)</f>
        <v/>
      </c>
      <c r="C317" s="19">
        <f>IF(B317="","",CHOOSE(WEEKDAY(B317,2),"понедельник","вторник","среда","четверг","пятница","суббота","воскресенье"))</f>
        <v/>
      </c>
      <c r="D317" s="19">
        <f>IF(B317="","",WEEKNUM(B317,21))</f>
        <v/>
      </c>
      <c r="E317" s="19">
        <f>IF(B317="","",MONTH(B317))</f>
        <v/>
      </c>
      <c r="F317" s="19">
        <f>IF(B317="","",IF(WEEKDAY(B317,2)&gt;=6,"вых","раб"))</f>
        <v/>
      </c>
      <c r="G317" s="21" t="n"/>
      <c r="H317" s="21" t="n"/>
      <c r="I317" s="21" t="n"/>
      <c r="J317" s="21" t="n"/>
      <c r="K317" s="21" t="n"/>
      <c r="L317" s="21" t="n"/>
      <c r="M317" s="22" t="n"/>
    </row>
    <row r="318">
      <c r="A318" s="19" t="n">
        <v>313</v>
      </c>
      <c r="B318" s="20">
        <f>IF(DATE(Анкета!$C$12,1,1)+312&gt;DATE(Анкета!$C$12,12,31),"",DATE(Анкета!$C$12,1,1)+312)</f>
        <v/>
      </c>
      <c r="C318" s="19">
        <f>IF(B318="","",CHOOSE(WEEKDAY(B318,2),"понедельник","вторник","среда","четверг","пятница","суббота","воскресенье"))</f>
        <v/>
      </c>
      <c r="D318" s="19">
        <f>IF(B318="","",WEEKNUM(B318,21))</f>
        <v/>
      </c>
      <c r="E318" s="19">
        <f>IF(B318="","",MONTH(B318))</f>
        <v/>
      </c>
      <c r="F318" s="19">
        <f>IF(B318="","",IF(WEEKDAY(B318,2)&gt;=6,"вых","раб"))</f>
        <v/>
      </c>
      <c r="G318" s="21" t="n"/>
      <c r="H318" s="21" t="n"/>
      <c r="I318" s="21" t="n"/>
      <c r="J318" s="21" t="n"/>
      <c r="K318" s="21" t="n"/>
      <c r="L318" s="21" t="n"/>
      <c r="M318" s="22" t="n"/>
    </row>
    <row r="319">
      <c r="A319" s="19" t="n">
        <v>314</v>
      </c>
      <c r="B319" s="20">
        <f>IF(DATE(Анкета!$C$12,1,1)+313&gt;DATE(Анкета!$C$12,12,31),"",DATE(Анкета!$C$12,1,1)+313)</f>
        <v/>
      </c>
      <c r="C319" s="19">
        <f>IF(B319="","",CHOOSE(WEEKDAY(B319,2),"понедельник","вторник","среда","четверг","пятница","суббота","воскресенье"))</f>
        <v/>
      </c>
      <c r="D319" s="19">
        <f>IF(B319="","",WEEKNUM(B319,21))</f>
        <v/>
      </c>
      <c r="E319" s="19">
        <f>IF(B319="","",MONTH(B319))</f>
        <v/>
      </c>
      <c r="F319" s="19">
        <f>IF(B319="","",IF(WEEKDAY(B319,2)&gt;=6,"вых","раб"))</f>
        <v/>
      </c>
      <c r="G319" s="21" t="n"/>
      <c r="H319" s="21" t="n"/>
      <c r="I319" s="21" t="n"/>
      <c r="J319" s="21" t="n"/>
      <c r="K319" s="21" t="n"/>
      <c r="L319" s="21" t="n"/>
      <c r="M319" s="22" t="n"/>
    </row>
    <row r="320">
      <c r="A320" s="19" t="n">
        <v>315</v>
      </c>
      <c r="B320" s="20">
        <f>IF(DATE(Анкета!$C$12,1,1)+314&gt;DATE(Анкета!$C$12,12,31),"",DATE(Анкета!$C$12,1,1)+314)</f>
        <v/>
      </c>
      <c r="C320" s="19">
        <f>IF(B320="","",CHOOSE(WEEKDAY(B320,2),"понедельник","вторник","среда","четверг","пятница","суббота","воскресенье"))</f>
        <v/>
      </c>
      <c r="D320" s="19">
        <f>IF(B320="","",WEEKNUM(B320,21))</f>
        <v/>
      </c>
      <c r="E320" s="19">
        <f>IF(B320="","",MONTH(B320))</f>
        <v/>
      </c>
      <c r="F320" s="19">
        <f>IF(B320="","",IF(WEEKDAY(B320,2)&gt;=6,"вых","раб"))</f>
        <v/>
      </c>
      <c r="G320" s="21" t="n"/>
      <c r="H320" s="21" t="n"/>
      <c r="I320" s="21" t="n"/>
      <c r="J320" s="21" t="n"/>
      <c r="K320" s="21" t="n"/>
      <c r="L320" s="21" t="n"/>
      <c r="M320" s="22" t="n"/>
    </row>
    <row r="321">
      <c r="A321" s="19" t="n">
        <v>316</v>
      </c>
      <c r="B321" s="20">
        <f>IF(DATE(Анкета!$C$12,1,1)+315&gt;DATE(Анкета!$C$12,12,31),"",DATE(Анкета!$C$12,1,1)+315)</f>
        <v/>
      </c>
      <c r="C321" s="19">
        <f>IF(B321="","",CHOOSE(WEEKDAY(B321,2),"понедельник","вторник","среда","четверг","пятница","суббота","воскресенье"))</f>
        <v/>
      </c>
      <c r="D321" s="19">
        <f>IF(B321="","",WEEKNUM(B321,21))</f>
        <v/>
      </c>
      <c r="E321" s="19">
        <f>IF(B321="","",MONTH(B321))</f>
        <v/>
      </c>
      <c r="F321" s="19">
        <f>IF(B321="","",IF(WEEKDAY(B321,2)&gt;=6,"вых","раб"))</f>
        <v/>
      </c>
      <c r="G321" s="21" t="n"/>
      <c r="H321" s="21" t="n"/>
      <c r="I321" s="21" t="n"/>
      <c r="J321" s="21" t="n"/>
      <c r="K321" s="21" t="n"/>
      <c r="L321" s="21" t="n"/>
      <c r="M321" s="22" t="n"/>
    </row>
    <row r="322">
      <c r="A322" s="19" t="n">
        <v>317</v>
      </c>
      <c r="B322" s="20">
        <f>IF(DATE(Анкета!$C$12,1,1)+316&gt;DATE(Анкета!$C$12,12,31),"",DATE(Анкета!$C$12,1,1)+316)</f>
        <v/>
      </c>
      <c r="C322" s="19">
        <f>IF(B322="","",CHOOSE(WEEKDAY(B322,2),"понедельник","вторник","среда","четверг","пятница","суббота","воскресенье"))</f>
        <v/>
      </c>
      <c r="D322" s="19">
        <f>IF(B322="","",WEEKNUM(B322,21))</f>
        <v/>
      </c>
      <c r="E322" s="19">
        <f>IF(B322="","",MONTH(B322))</f>
        <v/>
      </c>
      <c r="F322" s="19">
        <f>IF(B322="","",IF(WEEKDAY(B322,2)&gt;=6,"вых","раб"))</f>
        <v/>
      </c>
      <c r="G322" s="21" t="n"/>
      <c r="H322" s="21" t="n"/>
      <c r="I322" s="21" t="n"/>
      <c r="J322" s="21" t="n"/>
      <c r="K322" s="21" t="n"/>
      <c r="L322" s="21" t="n"/>
      <c r="M322" s="22" t="n"/>
    </row>
    <row r="323">
      <c r="A323" s="19" t="n">
        <v>318</v>
      </c>
      <c r="B323" s="20">
        <f>IF(DATE(Анкета!$C$12,1,1)+317&gt;DATE(Анкета!$C$12,12,31),"",DATE(Анкета!$C$12,1,1)+317)</f>
        <v/>
      </c>
      <c r="C323" s="19">
        <f>IF(B323="","",CHOOSE(WEEKDAY(B323,2),"понедельник","вторник","среда","четверг","пятница","суббота","воскресенье"))</f>
        <v/>
      </c>
      <c r="D323" s="19">
        <f>IF(B323="","",WEEKNUM(B323,21))</f>
        <v/>
      </c>
      <c r="E323" s="19">
        <f>IF(B323="","",MONTH(B323))</f>
        <v/>
      </c>
      <c r="F323" s="19">
        <f>IF(B323="","",IF(WEEKDAY(B323,2)&gt;=6,"вых","раб"))</f>
        <v/>
      </c>
      <c r="G323" s="21" t="n"/>
      <c r="H323" s="21" t="n"/>
      <c r="I323" s="21" t="n"/>
      <c r="J323" s="21" t="n"/>
      <c r="K323" s="21" t="n"/>
      <c r="L323" s="21" t="n"/>
      <c r="M323" s="22" t="n"/>
    </row>
    <row r="324">
      <c r="A324" s="19" t="n">
        <v>319</v>
      </c>
      <c r="B324" s="20">
        <f>IF(DATE(Анкета!$C$12,1,1)+318&gt;DATE(Анкета!$C$12,12,31),"",DATE(Анкета!$C$12,1,1)+318)</f>
        <v/>
      </c>
      <c r="C324" s="19">
        <f>IF(B324="","",CHOOSE(WEEKDAY(B324,2),"понедельник","вторник","среда","четверг","пятница","суббота","воскресенье"))</f>
        <v/>
      </c>
      <c r="D324" s="19">
        <f>IF(B324="","",WEEKNUM(B324,21))</f>
        <v/>
      </c>
      <c r="E324" s="19">
        <f>IF(B324="","",MONTH(B324))</f>
        <v/>
      </c>
      <c r="F324" s="19">
        <f>IF(B324="","",IF(WEEKDAY(B324,2)&gt;=6,"вых","раб"))</f>
        <v/>
      </c>
      <c r="G324" s="21" t="n"/>
      <c r="H324" s="21" t="n"/>
      <c r="I324" s="21" t="n"/>
      <c r="J324" s="21" t="n"/>
      <c r="K324" s="21" t="n"/>
      <c r="L324" s="21" t="n"/>
      <c r="M324" s="22" t="n"/>
    </row>
    <row r="325">
      <c r="A325" s="19" t="n">
        <v>320</v>
      </c>
      <c r="B325" s="20">
        <f>IF(DATE(Анкета!$C$12,1,1)+319&gt;DATE(Анкета!$C$12,12,31),"",DATE(Анкета!$C$12,1,1)+319)</f>
        <v/>
      </c>
      <c r="C325" s="19">
        <f>IF(B325="","",CHOOSE(WEEKDAY(B325,2),"понедельник","вторник","среда","четверг","пятница","суббота","воскресенье"))</f>
        <v/>
      </c>
      <c r="D325" s="19">
        <f>IF(B325="","",WEEKNUM(B325,21))</f>
        <v/>
      </c>
      <c r="E325" s="19">
        <f>IF(B325="","",MONTH(B325))</f>
        <v/>
      </c>
      <c r="F325" s="19">
        <f>IF(B325="","",IF(WEEKDAY(B325,2)&gt;=6,"вых","раб"))</f>
        <v/>
      </c>
      <c r="G325" s="21" t="n"/>
      <c r="H325" s="21" t="n"/>
      <c r="I325" s="21" t="n"/>
      <c r="J325" s="21" t="n"/>
      <c r="K325" s="21" t="n"/>
      <c r="L325" s="21" t="n"/>
      <c r="M325" s="22" t="n"/>
    </row>
    <row r="326">
      <c r="A326" s="19" t="n">
        <v>321</v>
      </c>
      <c r="B326" s="20">
        <f>IF(DATE(Анкета!$C$12,1,1)+320&gt;DATE(Анкета!$C$12,12,31),"",DATE(Анкета!$C$12,1,1)+320)</f>
        <v/>
      </c>
      <c r="C326" s="19">
        <f>IF(B326="","",CHOOSE(WEEKDAY(B326,2),"понедельник","вторник","среда","четверг","пятница","суббота","воскресенье"))</f>
        <v/>
      </c>
      <c r="D326" s="19">
        <f>IF(B326="","",WEEKNUM(B326,21))</f>
        <v/>
      </c>
      <c r="E326" s="19">
        <f>IF(B326="","",MONTH(B326))</f>
        <v/>
      </c>
      <c r="F326" s="19">
        <f>IF(B326="","",IF(WEEKDAY(B326,2)&gt;=6,"вых","раб"))</f>
        <v/>
      </c>
      <c r="G326" s="21" t="n"/>
      <c r="H326" s="21" t="n"/>
      <c r="I326" s="21" t="n"/>
      <c r="J326" s="21" t="n"/>
      <c r="K326" s="21" t="n"/>
      <c r="L326" s="21" t="n"/>
      <c r="M326" s="22" t="n"/>
    </row>
    <row r="327">
      <c r="A327" s="19" t="n">
        <v>322</v>
      </c>
      <c r="B327" s="20">
        <f>IF(DATE(Анкета!$C$12,1,1)+321&gt;DATE(Анкета!$C$12,12,31),"",DATE(Анкета!$C$12,1,1)+321)</f>
        <v/>
      </c>
      <c r="C327" s="19">
        <f>IF(B327="","",CHOOSE(WEEKDAY(B327,2),"понедельник","вторник","среда","четверг","пятница","суббота","воскресенье"))</f>
        <v/>
      </c>
      <c r="D327" s="19">
        <f>IF(B327="","",WEEKNUM(B327,21))</f>
        <v/>
      </c>
      <c r="E327" s="19">
        <f>IF(B327="","",MONTH(B327))</f>
        <v/>
      </c>
      <c r="F327" s="19">
        <f>IF(B327="","",IF(WEEKDAY(B327,2)&gt;=6,"вых","раб"))</f>
        <v/>
      </c>
      <c r="G327" s="21" t="n"/>
      <c r="H327" s="21" t="n"/>
      <c r="I327" s="21" t="n"/>
      <c r="J327" s="21" t="n"/>
      <c r="K327" s="21" t="n"/>
      <c r="L327" s="21" t="n"/>
      <c r="M327" s="22" t="n"/>
    </row>
    <row r="328">
      <c r="A328" s="19" t="n">
        <v>323</v>
      </c>
      <c r="B328" s="20">
        <f>IF(DATE(Анкета!$C$12,1,1)+322&gt;DATE(Анкета!$C$12,12,31),"",DATE(Анкета!$C$12,1,1)+322)</f>
        <v/>
      </c>
      <c r="C328" s="19">
        <f>IF(B328="","",CHOOSE(WEEKDAY(B328,2),"понедельник","вторник","среда","четверг","пятница","суббота","воскресенье"))</f>
        <v/>
      </c>
      <c r="D328" s="19">
        <f>IF(B328="","",WEEKNUM(B328,21))</f>
        <v/>
      </c>
      <c r="E328" s="19">
        <f>IF(B328="","",MONTH(B328))</f>
        <v/>
      </c>
      <c r="F328" s="19">
        <f>IF(B328="","",IF(WEEKDAY(B328,2)&gt;=6,"вых","раб"))</f>
        <v/>
      </c>
      <c r="G328" s="21" t="n"/>
      <c r="H328" s="21" t="n"/>
      <c r="I328" s="21" t="n"/>
      <c r="J328" s="21" t="n"/>
      <c r="K328" s="21" t="n"/>
      <c r="L328" s="21" t="n"/>
      <c r="M328" s="22" t="n"/>
    </row>
    <row r="329">
      <c r="A329" s="19" t="n">
        <v>324</v>
      </c>
      <c r="B329" s="20">
        <f>IF(DATE(Анкета!$C$12,1,1)+323&gt;DATE(Анкета!$C$12,12,31),"",DATE(Анкета!$C$12,1,1)+323)</f>
        <v/>
      </c>
      <c r="C329" s="19">
        <f>IF(B329="","",CHOOSE(WEEKDAY(B329,2),"понедельник","вторник","среда","четверг","пятница","суббота","воскресенье"))</f>
        <v/>
      </c>
      <c r="D329" s="19">
        <f>IF(B329="","",WEEKNUM(B329,21))</f>
        <v/>
      </c>
      <c r="E329" s="19">
        <f>IF(B329="","",MONTH(B329))</f>
        <v/>
      </c>
      <c r="F329" s="19">
        <f>IF(B329="","",IF(WEEKDAY(B329,2)&gt;=6,"вых","раб"))</f>
        <v/>
      </c>
      <c r="G329" s="21" t="n"/>
      <c r="H329" s="21" t="n"/>
      <c r="I329" s="21" t="n"/>
      <c r="J329" s="21" t="n"/>
      <c r="K329" s="21" t="n"/>
      <c r="L329" s="21" t="n"/>
      <c r="M329" s="22" t="n"/>
    </row>
    <row r="330">
      <c r="A330" s="19" t="n">
        <v>325</v>
      </c>
      <c r="B330" s="20">
        <f>IF(DATE(Анкета!$C$12,1,1)+324&gt;DATE(Анкета!$C$12,12,31),"",DATE(Анкета!$C$12,1,1)+324)</f>
        <v/>
      </c>
      <c r="C330" s="19">
        <f>IF(B330="","",CHOOSE(WEEKDAY(B330,2),"понедельник","вторник","среда","четверг","пятница","суббота","воскресенье"))</f>
        <v/>
      </c>
      <c r="D330" s="19">
        <f>IF(B330="","",WEEKNUM(B330,21))</f>
        <v/>
      </c>
      <c r="E330" s="19">
        <f>IF(B330="","",MONTH(B330))</f>
        <v/>
      </c>
      <c r="F330" s="19">
        <f>IF(B330="","",IF(WEEKDAY(B330,2)&gt;=6,"вых","раб"))</f>
        <v/>
      </c>
      <c r="G330" s="21" t="n"/>
      <c r="H330" s="21" t="n"/>
      <c r="I330" s="21" t="n"/>
      <c r="J330" s="21" t="n"/>
      <c r="K330" s="21" t="n"/>
      <c r="L330" s="21" t="n"/>
      <c r="M330" s="22" t="n"/>
    </row>
    <row r="331">
      <c r="A331" s="19" t="n">
        <v>326</v>
      </c>
      <c r="B331" s="20">
        <f>IF(DATE(Анкета!$C$12,1,1)+325&gt;DATE(Анкета!$C$12,12,31),"",DATE(Анкета!$C$12,1,1)+325)</f>
        <v/>
      </c>
      <c r="C331" s="19">
        <f>IF(B331="","",CHOOSE(WEEKDAY(B331,2),"понедельник","вторник","среда","четверг","пятница","суббота","воскресенье"))</f>
        <v/>
      </c>
      <c r="D331" s="19">
        <f>IF(B331="","",WEEKNUM(B331,21))</f>
        <v/>
      </c>
      <c r="E331" s="19">
        <f>IF(B331="","",MONTH(B331))</f>
        <v/>
      </c>
      <c r="F331" s="19">
        <f>IF(B331="","",IF(WEEKDAY(B331,2)&gt;=6,"вых","раб"))</f>
        <v/>
      </c>
      <c r="G331" s="21" t="n"/>
      <c r="H331" s="21" t="n"/>
      <c r="I331" s="21" t="n"/>
      <c r="J331" s="21" t="n"/>
      <c r="K331" s="21" t="n"/>
      <c r="L331" s="21" t="n"/>
      <c r="M331" s="22" t="n"/>
    </row>
    <row r="332">
      <c r="A332" s="19" t="n">
        <v>327</v>
      </c>
      <c r="B332" s="20">
        <f>IF(DATE(Анкета!$C$12,1,1)+326&gt;DATE(Анкета!$C$12,12,31),"",DATE(Анкета!$C$12,1,1)+326)</f>
        <v/>
      </c>
      <c r="C332" s="19">
        <f>IF(B332="","",CHOOSE(WEEKDAY(B332,2),"понедельник","вторник","среда","четверг","пятница","суббота","воскресенье"))</f>
        <v/>
      </c>
      <c r="D332" s="19">
        <f>IF(B332="","",WEEKNUM(B332,21))</f>
        <v/>
      </c>
      <c r="E332" s="19">
        <f>IF(B332="","",MONTH(B332))</f>
        <v/>
      </c>
      <c r="F332" s="19">
        <f>IF(B332="","",IF(WEEKDAY(B332,2)&gt;=6,"вых","раб"))</f>
        <v/>
      </c>
      <c r="G332" s="21" t="n"/>
      <c r="H332" s="21" t="n"/>
      <c r="I332" s="21" t="n"/>
      <c r="J332" s="21" t="n"/>
      <c r="K332" s="21" t="n"/>
      <c r="L332" s="21" t="n"/>
      <c r="M332" s="22" t="n"/>
    </row>
    <row r="333">
      <c r="A333" s="19" t="n">
        <v>328</v>
      </c>
      <c r="B333" s="20">
        <f>IF(DATE(Анкета!$C$12,1,1)+327&gt;DATE(Анкета!$C$12,12,31),"",DATE(Анкета!$C$12,1,1)+327)</f>
        <v/>
      </c>
      <c r="C333" s="19">
        <f>IF(B333="","",CHOOSE(WEEKDAY(B333,2),"понедельник","вторник","среда","четверг","пятница","суббота","воскресенье"))</f>
        <v/>
      </c>
      <c r="D333" s="19">
        <f>IF(B333="","",WEEKNUM(B333,21))</f>
        <v/>
      </c>
      <c r="E333" s="19">
        <f>IF(B333="","",MONTH(B333))</f>
        <v/>
      </c>
      <c r="F333" s="19">
        <f>IF(B333="","",IF(WEEKDAY(B333,2)&gt;=6,"вых","раб"))</f>
        <v/>
      </c>
      <c r="G333" s="21" t="n"/>
      <c r="H333" s="21" t="n"/>
      <c r="I333" s="21" t="n"/>
      <c r="J333" s="21" t="n"/>
      <c r="K333" s="21" t="n"/>
      <c r="L333" s="21" t="n"/>
      <c r="M333" s="22" t="n"/>
    </row>
    <row r="334">
      <c r="A334" s="19" t="n">
        <v>329</v>
      </c>
      <c r="B334" s="20">
        <f>IF(DATE(Анкета!$C$12,1,1)+328&gt;DATE(Анкета!$C$12,12,31),"",DATE(Анкета!$C$12,1,1)+328)</f>
        <v/>
      </c>
      <c r="C334" s="19">
        <f>IF(B334="","",CHOOSE(WEEKDAY(B334,2),"понедельник","вторник","среда","четверг","пятница","суббота","воскресенье"))</f>
        <v/>
      </c>
      <c r="D334" s="19">
        <f>IF(B334="","",WEEKNUM(B334,21))</f>
        <v/>
      </c>
      <c r="E334" s="19">
        <f>IF(B334="","",MONTH(B334))</f>
        <v/>
      </c>
      <c r="F334" s="19">
        <f>IF(B334="","",IF(WEEKDAY(B334,2)&gt;=6,"вых","раб"))</f>
        <v/>
      </c>
      <c r="G334" s="21" t="n"/>
      <c r="H334" s="21" t="n"/>
      <c r="I334" s="21" t="n"/>
      <c r="J334" s="21" t="n"/>
      <c r="K334" s="21" t="n"/>
      <c r="L334" s="21" t="n"/>
      <c r="M334" s="22" t="n"/>
    </row>
    <row r="335">
      <c r="A335" s="19" t="n">
        <v>330</v>
      </c>
      <c r="B335" s="20">
        <f>IF(DATE(Анкета!$C$12,1,1)+329&gt;DATE(Анкета!$C$12,12,31),"",DATE(Анкета!$C$12,1,1)+329)</f>
        <v/>
      </c>
      <c r="C335" s="19">
        <f>IF(B335="","",CHOOSE(WEEKDAY(B335,2),"понедельник","вторник","среда","четверг","пятница","суббота","воскресенье"))</f>
        <v/>
      </c>
      <c r="D335" s="19">
        <f>IF(B335="","",WEEKNUM(B335,21))</f>
        <v/>
      </c>
      <c r="E335" s="19">
        <f>IF(B335="","",MONTH(B335))</f>
        <v/>
      </c>
      <c r="F335" s="19">
        <f>IF(B335="","",IF(WEEKDAY(B335,2)&gt;=6,"вых","раб"))</f>
        <v/>
      </c>
      <c r="G335" s="21" t="n"/>
      <c r="H335" s="21" t="n"/>
      <c r="I335" s="21" t="n"/>
      <c r="J335" s="21" t="n"/>
      <c r="K335" s="21" t="n"/>
      <c r="L335" s="21" t="n"/>
      <c r="M335" s="22" t="n"/>
    </row>
    <row r="336">
      <c r="A336" s="19" t="n">
        <v>331</v>
      </c>
      <c r="B336" s="20">
        <f>IF(DATE(Анкета!$C$12,1,1)+330&gt;DATE(Анкета!$C$12,12,31),"",DATE(Анкета!$C$12,1,1)+330)</f>
        <v/>
      </c>
      <c r="C336" s="19">
        <f>IF(B336="","",CHOOSE(WEEKDAY(B336,2),"понедельник","вторник","среда","четверг","пятница","суббота","воскресенье"))</f>
        <v/>
      </c>
      <c r="D336" s="19">
        <f>IF(B336="","",WEEKNUM(B336,21))</f>
        <v/>
      </c>
      <c r="E336" s="19">
        <f>IF(B336="","",MONTH(B336))</f>
        <v/>
      </c>
      <c r="F336" s="19">
        <f>IF(B336="","",IF(WEEKDAY(B336,2)&gt;=6,"вых","раб"))</f>
        <v/>
      </c>
      <c r="G336" s="21" t="n"/>
      <c r="H336" s="21" t="n"/>
      <c r="I336" s="21" t="n"/>
      <c r="J336" s="21" t="n"/>
      <c r="K336" s="21" t="n"/>
      <c r="L336" s="21" t="n"/>
      <c r="M336" s="22" t="n"/>
    </row>
    <row r="337">
      <c r="A337" s="19" t="n">
        <v>332</v>
      </c>
      <c r="B337" s="20">
        <f>IF(DATE(Анкета!$C$12,1,1)+331&gt;DATE(Анкета!$C$12,12,31),"",DATE(Анкета!$C$12,1,1)+331)</f>
        <v/>
      </c>
      <c r="C337" s="19">
        <f>IF(B337="","",CHOOSE(WEEKDAY(B337,2),"понедельник","вторник","среда","четверг","пятница","суббота","воскресенье"))</f>
        <v/>
      </c>
      <c r="D337" s="19">
        <f>IF(B337="","",WEEKNUM(B337,21))</f>
        <v/>
      </c>
      <c r="E337" s="19">
        <f>IF(B337="","",MONTH(B337))</f>
        <v/>
      </c>
      <c r="F337" s="19">
        <f>IF(B337="","",IF(WEEKDAY(B337,2)&gt;=6,"вых","раб"))</f>
        <v/>
      </c>
      <c r="G337" s="21" t="n"/>
      <c r="H337" s="21" t="n"/>
      <c r="I337" s="21" t="n"/>
      <c r="J337" s="21" t="n"/>
      <c r="K337" s="21" t="n"/>
      <c r="L337" s="21" t="n"/>
      <c r="M337" s="22" t="n"/>
    </row>
    <row r="338">
      <c r="A338" s="19" t="n">
        <v>333</v>
      </c>
      <c r="B338" s="20">
        <f>IF(DATE(Анкета!$C$12,1,1)+332&gt;DATE(Анкета!$C$12,12,31),"",DATE(Анкета!$C$12,1,1)+332)</f>
        <v/>
      </c>
      <c r="C338" s="19">
        <f>IF(B338="","",CHOOSE(WEEKDAY(B338,2),"понедельник","вторник","среда","четверг","пятница","суббота","воскресенье"))</f>
        <v/>
      </c>
      <c r="D338" s="19">
        <f>IF(B338="","",WEEKNUM(B338,21))</f>
        <v/>
      </c>
      <c r="E338" s="19">
        <f>IF(B338="","",MONTH(B338))</f>
        <v/>
      </c>
      <c r="F338" s="19">
        <f>IF(B338="","",IF(WEEKDAY(B338,2)&gt;=6,"вых","раб"))</f>
        <v/>
      </c>
      <c r="G338" s="21" t="n"/>
      <c r="H338" s="21" t="n"/>
      <c r="I338" s="21" t="n"/>
      <c r="J338" s="21" t="n"/>
      <c r="K338" s="21" t="n"/>
      <c r="L338" s="21" t="n"/>
      <c r="M338" s="22" t="n"/>
    </row>
    <row r="339">
      <c r="A339" s="19" t="n">
        <v>334</v>
      </c>
      <c r="B339" s="20">
        <f>IF(DATE(Анкета!$C$12,1,1)+333&gt;DATE(Анкета!$C$12,12,31),"",DATE(Анкета!$C$12,1,1)+333)</f>
        <v/>
      </c>
      <c r="C339" s="19">
        <f>IF(B339="","",CHOOSE(WEEKDAY(B339,2),"понедельник","вторник","среда","четверг","пятница","суббота","воскресенье"))</f>
        <v/>
      </c>
      <c r="D339" s="19">
        <f>IF(B339="","",WEEKNUM(B339,21))</f>
        <v/>
      </c>
      <c r="E339" s="19">
        <f>IF(B339="","",MONTH(B339))</f>
        <v/>
      </c>
      <c r="F339" s="19">
        <f>IF(B339="","",IF(WEEKDAY(B339,2)&gt;=6,"вых","раб"))</f>
        <v/>
      </c>
      <c r="G339" s="21" t="n"/>
      <c r="H339" s="21" t="n"/>
      <c r="I339" s="21" t="n"/>
      <c r="J339" s="21" t="n"/>
      <c r="K339" s="21" t="n"/>
      <c r="L339" s="21" t="n"/>
      <c r="M339" s="22" t="n"/>
    </row>
    <row r="340">
      <c r="A340" s="19" t="n">
        <v>335</v>
      </c>
      <c r="B340" s="20">
        <f>IF(DATE(Анкета!$C$12,1,1)+334&gt;DATE(Анкета!$C$12,12,31),"",DATE(Анкета!$C$12,1,1)+334)</f>
        <v/>
      </c>
      <c r="C340" s="19">
        <f>IF(B340="","",CHOOSE(WEEKDAY(B340,2),"понедельник","вторник","среда","четверг","пятница","суббота","воскресенье"))</f>
        <v/>
      </c>
      <c r="D340" s="19">
        <f>IF(B340="","",WEEKNUM(B340,21))</f>
        <v/>
      </c>
      <c r="E340" s="19">
        <f>IF(B340="","",MONTH(B340))</f>
        <v/>
      </c>
      <c r="F340" s="19">
        <f>IF(B340="","",IF(WEEKDAY(B340,2)&gt;=6,"вых","раб"))</f>
        <v/>
      </c>
      <c r="G340" s="21" t="n"/>
      <c r="H340" s="21" t="n"/>
      <c r="I340" s="21" t="n"/>
      <c r="J340" s="21" t="n"/>
      <c r="K340" s="21" t="n"/>
      <c r="L340" s="21" t="n"/>
      <c r="M340" s="22" t="n"/>
    </row>
    <row r="341">
      <c r="A341" s="19" t="n">
        <v>336</v>
      </c>
      <c r="B341" s="20">
        <f>IF(DATE(Анкета!$C$12,1,1)+335&gt;DATE(Анкета!$C$12,12,31),"",DATE(Анкета!$C$12,1,1)+335)</f>
        <v/>
      </c>
      <c r="C341" s="19">
        <f>IF(B341="","",CHOOSE(WEEKDAY(B341,2),"понедельник","вторник","среда","четверг","пятница","суббота","воскресенье"))</f>
        <v/>
      </c>
      <c r="D341" s="19">
        <f>IF(B341="","",WEEKNUM(B341,21))</f>
        <v/>
      </c>
      <c r="E341" s="19">
        <f>IF(B341="","",MONTH(B341))</f>
        <v/>
      </c>
      <c r="F341" s="19">
        <f>IF(B341="","",IF(WEEKDAY(B341,2)&gt;=6,"вых","раб"))</f>
        <v/>
      </c>
      <c r="G341" s="21" t="n"/>
      <c r="H341" s="21" t="n"/>
      <c r="I341" s="21" t="n"/>
      <c r="J341" s="21" t="n"/>
      <c r="K341" s="21" t="n"/>
      <c r="L341" s="21" t="n"/>
      <c r="M341" s="22" t="n"/>
    </row>
    <row r="342">
      <c r="A342" s="19" t="n">
        <v>337</v>
      </c>
      <c r="B342" s="20">
        <f>IF(DATE(Анкета!$C$12,1,1)+336&gt;DATE(Анкета!$C$12,12,31),"",DATE(Анкета!$C$12,1,1)+336)</f>
        <v/>
      </c>
      <c r="C342" s="19">
        <f>IF(B342="","",CHOOSE(WEEKDAY(B342,2),"понедельник","вторник","среда","четверг","пятница","суббота","воскресенье"))</f>
        <v/>
      </c>
      <c r="D342" s="19">
        <f>IF(B342="","",WEEKNUM(B342,21))</f>
        <v/>
      </c>
      <c r="E342" s="19">
        <f>IF(B342="","",MONTH(B342))</f>
        <v/>
      </c>
      <c r="F342" s="19">
        <f>IF(B342="","",IF(WEEKDAY(B342,2)&gt;=6,"вых","раб"))</f>
        <v/>
      </c>
      <c r="G342" s="21" t="n"/>
      <c r="H342" s="21" t="n"/>
      <c r="I342" s="21" t="n"/>
      <c r="J342" s="21" t="n"/>
      <c r="K342" s="21" t="n"/>
      <c r="L342" s="21" t="n"/>
      <c r="M342" s="22" t="n"/>
    </row>
    <row r="343">
      <c r="A343" s="19" t="n">
        <v>338</v>
      </c>
      <c r="B343" s="20">
        <f>IF(DATE(Анкета!$C$12,1,1)+337&gt;DATE(Анкета!$C$12,12,31),"",DATE(Анкета!$C$12,1,1)+337)</f>
        <v/>
      </c>
      <c r="C343" s="19">
        <f>IF(B343="","",CHOOSE(WEEKDAY(B343,2),"понедельник","вторник","среда","четверг","пятница","суббота","воскресенье"))</f>
        <v/>
      </c>
      <c r="D343" s="19">
        <f>IF(B343="","",WEEKNUM(B343,21))</f>
        <v/>
      </c>
      <c r="E343" s="19">
        <f>IF(B343="","",MONTH(B343))</f>
        <v/>
      </c>
      <c r="F343" s="19">
        <f>IF(B343="","",IF(WEEKDAY(B343,2)&gt;=6,"вых","раб"))</f>
        <v/>
      </c>
      <c r="G343" s="21" t="n"/>
      <c r="H343" s="21" t="n"/>
      <c r="I343" s="21" t="n"/>
      <c r="J343" s="21" t="n"/>
      <c r="K343" s="21" t="n"/>
      <c r="L343" s="21" t="n"/>
      <c r="M343" s="22" t="n"/>
    </row>
    <row r="344">
      <c r="A344" s="19" t="n">
        <v>339</v>
      </c>
      <c r="B344" s="20">
        <f>IF(DATE(Анкета!$C$12,1,1)+338&gt;DATE(Анкета!$C$12,12,31),"",DATE(Анкета!$C$12,1,1)+338)</f>
        <v/>
      </c>
      <c r="C344" s="19">
        <f>IF(B344="","",CHOOSE(WEEKDAY(B344,2),"понедельник","вторник","среда","четверг","пятница","суббота","воскресенье"))</f>
        <v/>
      </c>
      <c r="D344" s="19">
        <f>IF(B344="","",WEEKNUM(B344,21))</f>
        <v/>
      </c>
      <c r="E344" s="19">
        <f>IF(B344="","",MONTH(B344))</f>
        <v/>
      </c>
      <c r="F344" s="19">
        <f>IF(B344="","",IF(WEEKDAY(B344,2)&gt;=6,"вых","раб"))</f>
        <v/>
      </c>
      <c r="G344" s="21" t="n"/>
      <c r="H344" s="21" t="n"/>
      <c r="I344" s="21" t="n"/>
      <c r="J344" s="21" t="n"/>
      <c r="K344" s="21" t="n"/>
      <c r="L344" s="21" t="n"/>
      <c r="M344" s="22" t="n"/>
    </row>
    <row r="345">
      <c r="A345" s="19" t="n">
        <v>340</v>
      </c>
      <c r="B345" s="20">
        <f>IF(DATE(Анкета!$C$12,1,1)+339&gt;DATE(Анкета!$C$12,12,31),"",DATE(Анкета!$C$12,1,1)+339)</f>
        <v/>
      </c>
      <c r="C345" s="19">
        <f>IF(B345="","",CHOOSE(WEEKDAY(B345,2),"понедельник","вторник","среда","четверг","пятница","суббота","воскресенье"))</f>
        <v/>
      </c>
      <c r="D345" s="19">
        <f>IF(B345="","",WEEKNUM(B345,21))</f>
        <v/>
      </c>
      <c r="E345" s="19">
        <f>IF(B345="","",MONTH(B345))</f>
        <v/>
      </c>
      <c r="F345" s="19">
        <f>IF(B345="","",IF(WEEKDAY(B345,2)&gt;=6,"вых","раб"))</f>
        <v/>
      </c>
      <c r="G345" s="21" t="n"/>
      <c r="H345" s="21" t="n"/>
      <c r="I345" s="21" t="n"/>
      <c r="J345" s="21" t="n"/>
      <c r="K345" s="21" t="n"/>
      <c r="L345" s="21" t="n"/>
      <c r="M345" s="22" t="n"/>
    </row>
    <row r="346">
      <c r="A346" s="19" t="n">
        <v>341</v>
      </c>
      <c r="B346" s="20">
        <f>IF(DATE(Анкета!$C$12,1,1)+340&gt;DATE(Анкета!$C$12,12,31),"",DATE(Анкета!$C$12,1,1)+340)</f>
        <v/>
      </c>
      <c r="C346" s="19">
        <f>IF(B346="","",CHOOSE(WEEKDAY(B346,2),"понедельник","вторник","среда","четверг","пятница","суббота","воскресенье"))</f>
        <v/>
      </c>
      <c r="D346" s="19">
        <f>IF(B346="","",WEEKNUM(B346,21))</f>
        <v/>
      </c>
      <c r="E346" s="19">
        <f>IF(B346="","",MONTH(B346))</f>
        <v/>
      </c>
      <c r="F346" s="19">
        <f>IF(B346="","",IF(WEEKDAY(B346,2)&gt;=6,"вых","раб"))</f>
        <v/>
      </c>
      <c r="G346" s="21" t="n"/>
      <c r="H346" s="21" t="n"/>
      <c r="I346" s="21" t="n"/>
      <c r="J346" s="21" t="n"/>
      <c r="K346" s="21" t="n"/>
      <c r="L346" s="21" t="n"/>
      <c r="M346" s="22" t="n"/>
    </row>
    <row r="347">
      <c r="A347" s="19" t="n">
        <v>342</v>
      </c>
      <c r="B347" s="20">
        <f>IF(DATE(Анкета!$C$12,1,1)+341&gt;DATE(Анкета!$C$12,12,31),"",DATE(Анкета!$C$12,1,1)+341)</f>
        <v/>
      </c>
      <c r="C347" s="19">
        <f>IF(B347="","",CHOOSE(WEEKDAY(B347,2),"понедельник","вторник","среда","четверг","пятница","суббота","воскресенье"))</f>
        <v/>
      </c>
      <c r="D347" s="19">
        <f>IF(B347="","",WEEKNUM(B347,21))</f>
        <v/>
      </c>
      <c r="E347" s="19">
        <f>IF(B347="","",MONTH(B347))</f>
        <v/>
      </c>
      <c r="F347" s="19">
        <f>IF(B347="","",IF(WEEKDAY(B347,2)&gt;=6,"вых","раб"))</f>
        <v/>
      </c>
      <c r="G347" s="21" t="n"/>
      <c r="H347" s="21" t="n"/>
      <c r="I347" s="21" t="n"/>
      <c r="J347" s="21" t="n"/>
      <c r="K347" s="21" t="n"/>
      <c r="L347" s="21" t="n"/>
      <c r="M347" s="22" t="n"/>
    </row>
    <row r="348">
      <c r="A348" s="19" t="n">
        <v>343</v>
      </c>
      <c r="B348" s="20">
        <f>IF(DATE(Анкета!$C$12,1,1)+342&gt;DATE(Анкета!$C$12,12,31),"",DATE(Анкета!$C$12,1,1)+342)</f>
        <v/>
      </c>
      <c r="C348" s="19">
        <f>IF(B348="","",CHOOSE(WEEKDAY(B348,2),"понедельник","вторник","среда","четверг","пятница","суббота","воскресенье"))</f>
        <v/>
      </c>
      <c r="D348" s="19">
        <f>IF(B348="","",WEEKNUM(B348,21))</f>
        <v/>
      </c>
      <c r="E348" s="19">
        <f>IF(B348="","",MONTH(B348))</f>
        <v/>
      </c>
      <c r="F348" s="19">
        <f>IF(B348="","",IF(WEEKDAY(B348,2)&gt;=6,"вых","раб"))</f>
        <v/>
      </c>
      <c r="G348" s="21" t="n"/>
      <c r="H348" s="21" t="n"/>
      <c r="I348" s="21" t="n"/>
      <c r="J348" s="21" t="n"/>
      <c r="K348" s="21" t="n"/>
      <c r="L348" s="21" t="n"/>
      <c r="M348" s="22" t="n"/>
    </row>
    <row r="349">
      <c r="A349" s="19" t="n">
        <v>344</v>
      </c>
      <c r="B349" s="20">
        <f>IF(DATE(Анкета!$C$12,1,1)+343&gt;DATE(Анкета!$C$12,12,31),"",DATE(Анкета!$C$12,1,1)+343)</f>
        <v/>
      </c>
      <c r="C349" s="19">
        <f>IF(B349="","",CHOOSE(WEEKDAY(B349,2),"понедельник","вторник","среда","четверг","пятница","суббота","воскресенье"))</f>
        <v/>
      </c>
      <c r="D349" s="19">
        <f>IF(B349="","",WEEKNUM(B349,21))</f>
        <v/>
      </c>
      <c r="E349" s="19">
        <f>IF(B349="","",MONTH(B349))</f>
        <v/>
      </c>
      <c r="F349" s="19">
        <f>IF(B349="","",IF(WEEKDAY(B349,2)&gt;=6,"вых","раб"))</f>
        <v/>
      </c>
      <c r="G349" s="21" t="n"/>
      <c r="H349" s="21" t="n"/>
      <c r="I349" s="21" t="n"/>
      <c r="J349" s="21" t="n"/>
      <c r="K349" s="21" t="n"/>
      <c r="L349" s="21" t="n"/>
      <c r="M349" s="22" t="n"/>
    </row>
    <row r="350">
      <c r="A350" s="19" t="n">
        <v>345</v>
      </c>
      <c r="B350" s="20">
        <f>IF(DATE(Анкета!$C$12,1,1)+344&gt;DATE(Анкета!$C$12,12,31),"",DATE(Анкета!$C$12,1,1)+344)</f>
        <v/>
      </c>
      <c r="C350" s="19">
        <f>IF(B350="","",CHOOSE(WEEKDAY(B350,2),"понедельник","вторник","среда","четверг","пятница","суббота","воскресенье"))</f>
        <v/>
      </c>
      <c r="D350" s="19">
        <f>IF(B350="","",WEEKNUM(B350,21))</f>
        <v/>
      </c>
      <c r="E350" s="19">
        <f>IF(B350="","",MONTH(B350))</f>
        <v/>
      </c>
      <c r="F350" s="19">
        <f>IF(B350="","",IF(WEEKDAY(B350,2)&gt;=6,"вых","раб"))</f>
        <v/>
      </c>
      <c r="G350" s="21" t="n"/>
      <c r="H350" s="21" t="n"/>
      <c r="I350" s="21" t="n"/>
      <c r="J350" s="21" t="n"/>
      <c r="K350" s="21" t="n"/>
      <c r="L350" s="21" t="n"/>
      <c r="M350" s="22" t="n"/>
    </row>
    <row r="351">
      <c r="A351" s="19" t="n">
        <v>346</v>
      </c>
      <c r="B351" s="20">
        <f>IF(DATE(Анкета!$C$12,1,1)+345&gt;DATE(Анкета!$C$12,12,31),"",DATE(Анкета!$C$12,1,1)+345)</f>
        <v/>
      </c>
      <c r="C351" s="19">
        <f>IF(B351="","",CHOOSE(WEEKDAY(B351,2),"понедельник","вторник","среда","четверг","пятница","суббота","воскресенье"))</f>
        <v/>
      </c>
      <c r="D351" s="19">
        <f>IF(B351="","",WEEKNUM(B351,21))</f>
        <v/>
      </c>
      <c r="E351" s="19">
        <f>IF(B351="","",MONTH(B351))</f>
        <v/>
      </c>
      <c r="F351" s="19">
        <f>IF(B351="","",IF(WEEKDAY(B351,2)&gt;=6,"вых","раб"))</f>
        <v/>
      </c>
      <c r="G351" s="21" t="n"/>
      <c r="H351" s="21" t="n"/>
      <c r="I351" s="21" t="n"/>
      <c r="J351" s="21" t="n"/>
      <c r="K351" s="21" t="n"/>
      <c r="L351" s="21" t="n"/>
      <c r="M351" s="22" t="n"/>
    </row>
    <row r="352">
      <c r="A352" s="19" t="n">
        <v>347</v>
      </c>
      <c r="B352" s="20">
        <f>IF(DATE(Анкета!$C$12,1,1)+346&gt;DATE(Анкета!$C$12,12,31),"",DATE(Анкета!$C$12,1,1)+346)</f>
        <v/>
      </c>
      <c r="C352" s="19">
        <f>IF(B352="","",CHOOSE(WEEKDAY(B352,2),"понедельник","вторник","среда","четверг","пятница","суббота","воскресенье"))</f>
        <v/>
      </c>
      <c r="D352" s="19">
        <f>IF(B352="","",WEEKNUM(B352,21))</f>
        <v/>
      </c>
      <c r="E352" s="19">
        <f>IF(B352="","",MONTH(B352))</f>
        <v/>
      </c>
      <c r="F352" s="19">
        <f>IF(B352="","",IF(WEEKDAY(B352,2)&gt;=6,"вых","раб"))</f>
        <v/>
      </c>
      <c r="G352" s="21" t="n"/>
      <c r="H352" s="21" t="n"/>
      <c r="I352" s="21" t="n"/>
      <c r="J352" s="21" t="n"/>
      <c r="K352" s="21" t="n"/>
      <c r="L352" s="21" t="n"/>
      <c r="M352" s="22" t="n"/>
    </row>
    <row r="353">
      <c r="A353" s="19" t="n">
        <v>348</v>
      </c>
      <c r="B353" s="20">
        <f>IF(DATE(Анкета!$C$12,1,1)+347&gt;DATE(Анкета!$C$12,12,31),"",DATE(Анкета!$C$12,1,1)+347)</f>
        <v/>
      </c>
      <c r="C353" s="19">
        <f>IF(B353="","",CHOOSE(WEEKDAY(B353,2),"понедельник","вторник","среда","четверг","пятница","суббота","воскресенье"))</f>
        <v/>
      </c>
      <c r="D353" s="19">
        <f>IF(B353="","",WEEKNUM(B353,21))</f>
        <v/>
      </c>
      <c r="E353" s="19">
        <f>IF(B353="","",MONTH(B353))</f>
        <v/>
      </c>
      <c r="F353" s="19">
        <f>IF(B353="","",IF(WEEKDAY(B353,2)&gt;=6,"вых","раб"))</f>
        <v/>
      </c>
      <c r="G353" s="21" t="n"/>
      <c r="H353" s="21" t="n"/>
      <c r="I353" s="21" t="n"/>
      <c r="J353" s="21" t="n"/>
      <c r="K353" s="21" t="n"/>
      <c r="L353" s="21" t="n"/>
      <c r="M353" s="22" t="n"/>
    </row>
    <row r="354">
      <c r="A354" s="19" t="n">
        <v>349</v>
      </c>
      <c r="B354" s="20">
        <f>IF(DATE(Анкета!$C$12,1,1)+348&gt;DATE(Анкета!$C$12,12,31),"",DATE(Анкета!$C$12,1,1)+348)</f>
        <v/>
      </c>
      <c r="C354" s="19">
        <f>IF(B354="","",CHOOSE(WEEKDAY(B354,2),"понедельник","вторник","среда","четверг","пятница","суббота","воскресенье"))</f>
        <v/>
      </c>
      <c r="D354" s="19">
        <f>IF(B354="","",WEEKNUM(B354,21))</f>
        <v/>
      </c>
      <c r="E354" s="19">
        <f>IF(B354="","",MONTH(B354))</f>
        <v/>
      </c>
      <c r="F354" s="19">
        <f>IF(B354="","",IF(WEEKDAY(B354,2)&gt;=6,"вых","раб"))</f>
        <v/>
      </c>
      <c r="G354" s="21" t="n"/>
      <c r="H354" s="21" t="n"/>
      <c r="I354" s="21" t="n"/>
      <c r="J354" s="21" t="n"/>
      <c r="K354" s="21" t="n"/>
      <c r="L354" s="21" t="n"/>
      <c r="M354" s="22" t="n"/>
    </row>
    <row r="355">
      <c r="A355" s="19" t="n">
        <v>350</v>
      </c>
      <c r="B355" s="20">
        <f>IF(DATE(Анкета!$C$12,1,1)+349&gt;DATE(Анкета!$C$12,12,31),"",DATE(Анкета!$C$12,1,1)+349)</f>
        <v/>
      </c>
      <c r="C355" s="19">
        <f>IF(B355="","",CHOOSE(WEEKDAY(B355,2),"понедельник","вторник","среда","четверг","пятница","суббота","воскресенье"))</f>
        <v/>
      </c>
      <c r="D355" s="19">
        <f>IF(B355="","",WEEKNUM(B355,21))</f>
        <v/>
      </c>
      <c r="E355" s="19">
        <f>IF(B355="","",MONTH(B355))</f>
        <v/>
      </c>
      <c r="F355" s="19">
        <f>IF(B355="","",IF(WEEKDAY(B355,2)&gt;=6,"вых","раб"))</f>
        <v/>
      </c>
      <c r="G355" s="21" t="n"/>
      <c r="H355" s="21" t="n"/>
      <c r="I355" s="21" t="n"/>
      <c r="J355" s="21" t="n"/>
      <c r="K355" s="21" t="n"/>
      <c r="L355" s="21" t="n"/>
      <c r="M355" s="22" t="n"/>
    </row>
    <row r="356">
      <c r="A356" s="19" t="n">
        <v>351</v>
      </c>
      <c r="B356" s="20">
        <f>IF(DATE(Анкета!$C$12,1,1)+350&gt;DATE(Анкета!$C$12,12,31),"",DATE(Анкета!$C$12,1,1)+350)</f>
        <v/>
      </c>
      <c r="C356" s="19">
        <f>IF(B356="","",CHOOSE(WEEKDAY(B356,2),"понедельник","вторник","среда","четверг","пятница","суббота","воскресенье"))</f>
        <v/>
      </c>
      <c r="D356" s="19">
        <f>IF(B356="","",WEEKNUM(B356,21))</f>
        <v/>
      </c>
      <c r="E356" s="19">
        <f>IF(B356="","",MONTH(B356))</f>
        <v/>
      </c>
      <c r="F356" s="19">
        <f>IF(B356="","",IF(WEEKDAY(B356,2)&gt;=6,"вых","раб"))</f>
        <v/>
      </c>
      <c r="G356" s="21" t="n"/>
      <c r="H356" s="21" t="n"/>
      <c r="I356" s="21" t="n"/>
      <c r="J356" s="21" t="n"/>
      <c r="K356" s="21" t="n"/>
      <c r="L356" s="21" t="n"/>
      <c r="M356" s="22" t="n"/>
    </row>
    <row r="357">
      <c r="A357" s="19" t="n">
        <v>352</v>
      </c>
      <c r="B357" s="20">
        <f>IF(DATE(Анкета!$C$12,1,1)+351&gt;DATE(Анкета!$C$12,12,31),"",DATE(Анкета!$C$12,1,1)+351)</f>
        <v/>
      </c>
      <c r="C357" s="19">
        <f>IF(B357="","",CHOOSE(WEEKDAY(B357,2),"понедельник","вторник","среда","четверг","пятница","суббота","воскресенье"))</f>
        <v/>
      </c>
      <c r="D357" s="19">
        <f>IF(B357="","",WEEKNUM(B357,21))</f>
        <v/>
      </c>
      <c r="E357" s="19">
        <f>IF(B357="","",MONTH(B357))</f>
        <v/>
      </c>
      <c r="F357" s="19">
        <f>IF(B357="","",IF(WEEKDAY(B357,2)&gt;=6,"вых","раб"))</f>
        <v/>
      </c>
      <c r="G357" s="21" t="n"/>
      <c r="H357" s="21" t="n"/>
      <c r="I357" s="21" t="n"/>
      <c r="J357" s="21" t="n"/>
      <c r="K357" s="21" t="n"/>
      <c r="L357" s="21" t="n"/>
      <c r="M357" s="22" t="n"/>
    </row>
    <row r="358">
      <c r="A358" s="19" t="n">
        <v>353</v>
      </c>
      <c r="B358" s="20">
        <f>IF(DATE(Анкета!$C$12,1,1)+352&gt;DATE(Анкета!$C$12,12,31),"",DATE(Анкета!$C$12,1,1)+352)</f>
        <v/>
      </c>
      <c r="C358" s="19">
        <f>IF(B358="","",CHOOSE(WEEKDAY(B358,2),"понедельник","вторник","среда","четверг","пятница","суббота","воскресенье"))</f>
        <v/>
      </c>
      <c r="D358" s="19">
        <f>IF(B358="","",WEEKNUM(B358,21))</f>
        <v/>
      </c>
      <c r="E358" s="19">
        <f>IF(B358="","",MONTH(B358))</f>
        <v/>
      </c>
      <c r="F358" s="19">
        <f>IF(B358="","",IF(WEEKDAY(B358,2)&gt;=6,"вых","раб"))</f>
        <v/>
      </c>
      <c r="G358" s="21" t="n"/>
      <c r="H358" s="21" t="n"/>
      <c r="I358" s="21" t="n"/>
      <c r="J358" s="21" t="n"/>
      <c r="K358" s="21" t="n"/>
      <c r="L358" s="21" t="n"/>
      <c r="M358" s="22" t="n"/>
    </row>
    <row r="359">
      <c r="A359" s="19" t="n">
        <v>354</v>
      </c>
      <c r="B359" s="20">
        <f>IF(DATE(Анкета!$C$12,1,1)+353&gt;DATE(Анкета!$C$12,12,31),"",DATE(Анкета!$C$12,1,1)+353)</f>
        <v/>
      </c>
      <c r="C359" s="19">
        <f>IF(B359="","",CHOOSE(WEEKDAY(B359,2),"понедельник","вторник","среда","четверг","пятница","суббота","воскресенье"))</f>
        <v/>
      </c>
      <c r="D359" s="19">
        <f>IF(B359="","",WEEKNUM(B359,21))</f>
        <v/>
      </c>
      <c r="E359" s="19">
        <f>IF(B359="","",MONTH(B359))</f>
        <v/>
      </c>
      <c r="F359" s="19">
        <f>IF(B359="","",IF(WEEKDAY(B359,2)&gt;=6,"вых","раб"))</f>
        <v/>
      </c>
      <c r="G359" s="21" t="n"/>
      <c r="H359" s="21" t="n"/>
      <c r="I359" s="21" t="n"/>
      <c r="J359" s="21" t="n"/>
      <c r="K359" s="21" t="n"/>
      <c r="L359" s="21" t="n"/>
      <c r="M359" s="22" t="n"/>
    </row>
    <row r="360">
      <c r="A360" s="19" t="n">
        <v>355</v>
      </c>
      <c r="B360" s="20">
        <f>IF(DATE(Анкета!$C$12,1,1)+354&gt;DATE(Анкета!$C$12,12,31),"",DATE(Анкета!$C$12,1,1)+354)</f>
        <v/>
      </c>
      <c r="C360" s="19">
        <f>IF(B360="","",CHOOSE(WEEKDAY(B360,2),"понедельник","вторник","среда","четверг","пятница","суббота","воскресенье"))</f>
        <v/>
      </c>
      <c r="D360" s="19">
        <f>IF(B360="","",WEEKNUM(B360,21))</f>
        <v/>
      </c>
      <c r="E360" s="19">
        <f>IF(B360="","",MONTH(B360))</f>
        <v/>
      </c>
      <c r="F360" s="19">
        <f>IF(B360="","",IF(WEEKDAY(B360,2)&gt;=6,"вых","раб"))</f>
        <v/>
      </c>
      <c r="G360" s="21" t="n"/>
      <c r="H360" s="21" t="n"/>
      <c r="I360" s="21" t="n"/>
      <c r="J360" s="21" t="n"/>
      <c r="K360" s="21" t="n"/>
      <c r="L360" s="21" t="n"/>
      <c r="M360" s="22" t="n"/>
    </row>
    <row r="361">
      <c r="A361" s="19" t="n">
        <v>356</v>
      </c>
      <c r="B361" s="20">
        <f>IF(DATE(Анкета!$C$12,1,1)+355&gt;DATE(Анкета!$C$12,12,31),"",DATE(Анкета!$C$12,1,1)+355)</f>
        <v/>
      </c>
      <c r="C361" s="19">
        <f>IF(B361="","",CHOOSE(WEEKDAY(B361,2),"понедельник","вторник","среда","четверг","пятница","суббота","воскресенье"))</f>
        <v/>
      </c>
      <c r="D361" s="19">
        <f>IF(B361="","",WEEKNUM(B361,21))</f>
        <v/>
      </c>
      <c r="E361" s="19">
        <f>IF(B361="","",MONTH(B361))</f>
        <v/>
      </c>
      <c r="F361" s="19">
        <f>IF(B361="","",IF(WEEKDAY(B361,2)&gt;=6,"вых","раб"))</f>
        <v/>
      </c>
      <c r="G361" s="21" t="n"/>
      <c r="H361" s="21" t="n"/>
      <c r="I361" s="21" t="n"/>
      <c r="J361" s="21" t="n"/>
      <c r="K361" s="21" t="n"/>
      <c r="L361" s="21" t="n"/>
      <c r="M361" s="22" t="n"/>
    </row>
    <row r="362">
      <c r="A362" s="19" t="n">
        <v>357</v>
      </c>
      <c r="B362" s="20">
        <f>IF(DATE(Анкета!$C$12,1,1)+356&gt;DATE(Анкета!$C$12,12,31),"",DATE(Анкета!$C$12,1,1)+356)</f>
        <v/>
      </c>
      <c r="C362" s="19">
        <f>IF(B362="","",CHOOSE(WEEKDAY(B362,2),"понедельник","вторник","среда","четверг","пятница","суббота","воскресенье"))</f>
        <v/>
      </c>
      <c r="D362" s="19">
        <f>IF(B362="","",WEEKNUM(B362,21))</f>
        <v/>
      </c>
      <c r="E362" s="19">
        <f>IF(B362="","",MONTH(B362))</f>
        <v/>
      </c>
      <c r="F362" s="19">
        <f>IF(B362="","",IF(WEEKDAY(B362,2)&gt;=6,"вых","раб"))</f>
        <v/>
      </c>
      <c r="G362" s="21" t="n"/>
      <c r="H362" s="21" t="n"/>
      <c r="I362" s="21" t="n"/>
      <c r="J362" s="21" t="n"/>
      <c r="K362" s="21" t="n"/>
      <c r="L362" s="21" t="n"/>
      <c r="M362" s="22" t="n"/>
    </row>
    <row r="363">
      <c r="A363" s="19" t="n">
        <v>358</v>
      </c>
      <c r="B363" s="20">
        <f>IF(DATE(Анкета!$C$12,1,1)+357&gt;DATE(Анкета!$C$12,12,31),"",DATE(Анкета!$C$12,1,1)+357)</f>
        <v/>
      </c>
      <c r="C363" s="19">
        <f>IF(B363="","",CHOOSE(WEEKDAY(B363,2),"понедельник","вторник","среда","четверг","пятница","суббота","воскресенье"))</f>
        <v/>
      </c>
      <c r="D363" s="19">
        <f>IF(B363="","",WEEKNUM(B363,21))</f>
        <v/>
      </c>
      <c r="E363" s="19">
        <f>IF(B363="","",MONTH(B363))</f>
        <v/>
      </c>
      <c r="F363" s="19">
        <f>IF(B363="","",IF(WEEKDAY(B363,2)&gt;=6,"вых","раб"))</f>
        <v/>
      </c>
      <c r="G363" s="21" t="n"/>
      <c r="H363" s="21" t="n"/>
      <c r="I363" s="21" t="n"/>
      <c r="J363" s="21" t="n"/>
      <c r="K363" s="21" t="n"/>
      <c r="L363" s="21" t="n"/>
      <c r="M363" s="22" t="n"/>
    </row>
    <row r="364">
      <c r="A364" s="19" t="n">
        <v>359</v>
      </c>
      <c r="B364" s="20">
        <f>IF(DATE(Анкета!$C$12,1,1)+358&gt;DATE(Анкета!$C$12,12,31),"",DATE(Анкета!$C$12,1,1)+358)</f>
        <v/>
      </c>
      <c r="C364" s="19">
        <f>IF(B364="","",CHOOSE(WEEKDAY(B364,2),"понедельник","вторник","среда","четверг","пятница","суббота","воскресенье"))</f>
        <v/>
      </c>
      <c r="D364" s="19">
        <f>IF(B364="","",WEEKNUM(B364,21))</f>
        <v/>
      </c>
      <c r="E364" s="19">
        <f>IF(B364="","",MONTH(B364))</f>
        <v/>
      </c>
      <c r="F364" s="19">
        <f>IF(B364="","",IF(WEEKDAY(B364,2)&gt;=6,"вых","раб"))</f>
        <v/>
      </c>
      <c r="G364" s="21" t="n"/>
      <c r="H364" s="21" t="n"/>
      <c r="I364" s="21" t="n"/>
      <c r="J364" s="21" t="n"/>
      <c r="K364" s="21" t="n"/>
      <c r="L364" s="21" t="n"/>
      <c r="M364" s="22" t="n"/>
    </row>
    <row r="365">
      <c r="A365" s="19" t="n">
        <v>360</v>
      </c>
      <c r="B365" s="20">
        <f>IF(DATE(Анкета!$C$12,1,1)+359&gt;DATE(Анкета!$C$12,12,31),"",DATE(Анкета!$C$12,1,1)+359)</f>
        <v/>
      </c>
      <c r="C365" s="19">
        <f>IF(B365="","",CHOOSE(WEEKDAY(B365,2),"понедельник","вторник","среда","четверг","пятница","суббота","воскресенье"))</f>
        <v/>
      </c>
      <c r="D365" s="19">
        <f>IF(B365="","",WEEKNUM(B365,21))</f>
        <v/>
      </c>
      <c r="E365" s="19">
        <f>IF(B365="","",MONTH(B365))</f>
        <v/>
      </c>
      <c r="F365" s="19">
        <f>IF(B365="","",IF(WEEKDAY(B365,2)&gt;=6,"вых","раб"))</f>
        <v/>
      </c>
      <c r="G365" s="21" t="n"/>
      <c r="H365" s="21" t="n"/>
      <c r="I365" s="21" t="n"/>
      <c r="J365" s="21" t="n"/>
      <c r="K365" s="21" t="n"/>
      <c r="L365" s="21" t="n"/>
      <c r="M365" s="22" t="n"/>
    </row>
    <row r="366">
      <c r="A366" s="19" t="n">
        <v>361</v>
      </c>
      <c r="B366" s="20">
        <f>IF(DATE(Анкета!$C$12,1,1)+360&gt;DATE(Анкета!$C$12,12,31),"",DATE(Анкета!$C$12,1,1)+360)</f>
        <v/>
      </c>
      <c r="C366" s="19">
        <f>IF(B366="","",CHOOSE(WEEKDAY(B366,2),"понедельник","вторник","среда","четверг","пятница","суббота","воскресенье"))</f>
        <v/>
      </c>
      <c r="D366" s="19">
        <f>IF(B366="","",WEEKNUM(B366,21))</f>
        <v/>
      </c>
      <c r="E366" s="19">
        <f>IF(B366="","",MONTH(B366))</f>
        <v/>
      </c>
      <c r="F366" s="19">
        <f>IF(B366="","",IF(WEEKDAY(B366,2)&gt;=6,"вых","раб"))</f>
        <v/>
      </c>
      <c r="G366" s="21" t="n"/>
      <c r="H366" s="21" t="n"/>
      <c r="I366" s="21" t="n"/>
      <c r="J366" s="21" t="n"/>
      <c r="K366" s="21" t="n"/>
      <c r="L366" s="21" t="n"/>
      <c r="M366" s="22" t="n"/>
    </row>
    <row r="367">
      <c r="A367" s="19" t="n">
        <v>362</v>
      </c>
      <c r="B367" s="20">
        <f>IF(DATE(Анкета!$C$12,1,1)+361&gt;DATE(Анкета!$C$12,12,31),"",DATE(Анкета!$C$12,1,1)+361)</f>
        <v/>
      </c>
      <c r="C367" s="19">
        <f>IF(B367="","",CHOOSE(WEEKDAY(B367,2),"понедельник","вторник","среда","четверг","пятница","суббота","воскресенье"))</f>
        <v/>
      </c>
      <c r="D367" s="19">
        <f>IF(B367="","",WEEKNUM(B367,21))</f>
        <v/>
      </c>
      <c r="E367" s="19">
        <f>IF(B367="","",MONTH(B367))</f>
        <v/>
      </c>
      <c r="F367" s="19">
        <f>IF(B367="","",IF(WEEKDAY(B367,2)&gt;=6,"вых","раб"))</f>
        <v/>
      </c>
      <c r="G367" s="21" t="n"/>
      <c r="H367" s="21" t="n"/>
      <c r="I367" s="21" t="n"/>
      <c r="J367" s="21" t="n"/>
      <c r="K367" s="21" t="n"/>
      <c r="L367" s="21" t="n"/>
      <c r="M367" s="22" t="n"/>
    </row>
    <row r="368">
      <c r="A368" s="19" t="n">
        <v>363</v>
      </c>
      <c r="B368" s="20">
        <f>IF(DATE(Анкета!$C$12,1,1)+362&gt;DATE(Анкета!$C$12,12,31),"",DATE(Анкета!$C$12,1,1)+362)</f>
        <v/>
      </c>
      <c r="C368" s="19">
        <f>IF(B368="","",CHOOSE(WEEKDAY(B368,2),"понедельник","вторник","среда","четверг","пятница","суббота","воскресенье"))</f>
        <v/>
      </c>
      <c r="D368" s="19">
        <f>IF(B368="","",WEEKNUM(B368,21))</f>
        <v/>
      </c>
      <c r="E368" s="19">
        <f>IF(B368="","",MONTH(B368))</f>
        <v/>
      </c>
      <c r="F368" s="19">
        <f>IF(B368="","",IF(WEEKDAY(B368,2)&gt;=6,"вых","раб"))</f>
        <v/>
      </c>
      <c r="G368" s="21" t="n"/>
      <c r="H368" s="21" t="n"/>
      <c r="I368" s="21" t="n"/>
      <c r="J368" s="21" t="n"/>
      <c r="K368" s="21" t="n"/>
      <c r="L368" s="21" t="n"/>
      <c r="M368" s="22" t="n"/>
    </row>
    <row r="369">
      <c r="A369" s="19" t="n">
        <v>364</v>
      </c>
      <c r="B369" s="20">
        <f>IF(DATE(Анкета!$C$12,1,1)+363&gt;DATE(Анкета!$C$12,12,31),"",DATE(Анкета!$C$12,1,1)+363)</f>
        <v/>
      </c>
      <c r="C369" s="19">
        <f>IF(B369="","",CHOOSE(WEEKDAY(B369,2),"понедельник","вторник","среда","четверг","пятница","суббота","воскресенье"))</f>
        <v/>
      </c>
      <c r="D369" s="19">
        <f>IF(B369="","",WEEKNUM(B369,21))</f>
        <v/>
      </c>
      <c r="E369" s="19">
        <f>IF(B369="","",MONTH(B369))</f>
        <v/>
      </c>
      <c r="F369" s="19">
        <f>IF(B369="","",IF(WEEKDAY(B369,2)&gt;=6,"вых","раб"))</f>
        <v/>
      </c>
      <c r="G369" s="21" t="n"/>
      <c r="H369" s="21" t="n"/>
      <c r="I369" s="21" t="n"/>
      <c r="J369" s="21" t="n"/>
      <c r="K369" s="21" t="n"/>
      <c r="L369" s="21" t="n"/>
      <c r="M369" s="22" t="n"/>
    </row>
    <row r="370">
      <c r="A370" s="19" t="n">
        <v>365</v>
      </c>
      <c r="B370" s="20">
        <f>IF(DATE(Анкета!$C$12,1,1)+364&gt;DATE(Анкета!$C$12,12,31),"",DATE(Анкета!$C$12,1,1)+364)</f>
        <v/>
      </c>
      <c r="C370" s="19">
        <f>IF(B370="","",CHOOSE(WEEKDAY(B370,2),"понедельник","вторник","среда","четверг","пятница","суббота","воскресенье"))</f>
        <v/>
      </c>
      <c r="D370" s="19">
        <f>IF(B370="","",WEEKNUM(B370,21))</f>
        <v/>
      </c>
      <c r="E370" s="19">
        <f>IF(B370="","",MONTH(B370))</f>
        <v/>
      </c>
      <c r="F370" s="19">
        <f>IF(B370="","",IF(WEEKDAY(B370,2)&gt;=6,"вых","раб"))</f>
        <v/>
      </c>
      <c r="G370" s="21" t="n"/>
      <c r="H370" s="21" t="n"/>
      <c r="I370" s="21" t="n"/>
      <c r="J370" s="21" t="n"/>
      <c r="K370" s="21" t="n"/>
      <c r="L370" s="21" t="n"/>
      <c r="M370" s="22" t="n"/>
    </row>
    <row r="371">
      <c r="A371" s="19" t="n">
        <v>366</v>
      </c>
      <c r="B371" s="20">
        <f>IF(DATE(Анкета!$C$12,1,1)+365&gt;DATE(Анкета!$C$12,12,31),"",DATE(Анкета!$C$12,1,1)+365)</f>
        <v/>
      </c>
      <c r="C371" s="19">
        <f>IF(B371="","",CHOOSE(WEEKDAY(B371,2),"понедельник","вторник","среда","четверг","пятница","суббота","воскресенье"))</f>
        <v/>
      </c>
      <c r="D371" s="19">
        <f>IF(B371="","",WEEKNUM(B371,21))</f>
        <v/>
      </c>
      <c r="E371" s="19">
        <f>IF(B371="","",MONTH(B371))</f>
        <v/>
      </c>
      <c r="F371" s="19">
        <f>IF(B371="","",IF(WEEKDAY(B371,2)&gt;=6,"вых","раб"))</f>
        <v/>
      </c>
      <c r="G371" s="21" t="n"/>
      <c r="H371" s="21" t="n"/>
      <c r="I371" s="21" t="n"/>
      <c r="J371" s="21" t="n"/>
      <c r="K371" s="21" t="n"/>
      <c r="L371" s="21" t="n"/>
      <c r="M371" s="22" t="n"/>
    </row>
  </sheetData>
  <autoFilter ref="A5:M371"/>
  <mergeCells count="3">
    <mergeCell ref="A3:M3"/>
    <mergeCell ref="A2:M2"/>
    <mergeCell ref="A1:M1"/>
  </mergeCells>
  <conditionalFormatting sqref="A6:M371">
    <cfRule type="expression" priority="1" dxfId="0">
      <formula>$F6="вых"</formula>
    </cfRule>
  </conditionalFormatting>
  <dataValidations count="1">
    <dataValidation sqref="G6:H371" showDropDown="0" showInputMessage="0" showErrorMessage="0" allowBlank="1" errorTitle="Отметка" error="Ставьте 1 или оставьте пустым" type="list">
      <formula1>"1"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1E1E"/>
    <outlinePr summaryBelow="1" summaryRight="1"/>
    <pageSetUpPr fitToPage="1"/>
  </sheetPr>
  <dimension ref="A1:N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8" customWidth="1" min="4" max="4"/>
    <col width="14" customWidth="1" min="5" max="5"/>
    <col width="16" customWidth="1" min="6" max="6"/>
    <col width="14" customWidth="1" min="7" max="7"/>
    <col width="12" customWidth="1" min="8" max="8"/>
    <col width="11" customWidth="1" min="9" max="9"/>
    <col width="12" customWidth="1" min="10" max="10"/>
    <col width="12" customWidth="1" min="11" max="11"/>
    <col width="16" customWidth="1" min="12" max="12"/>
    <col width="14" customWidth="1" min="13" max="13"/>
    <col hidden="1" width="13" customWidth="1" min="14" max="14"/>
  </cols>
  <sheetData>
    <row r="1">
      <c r="A1" s="23" t="inlineStr">
        <is>
          <t>Приложение № 7 к Порядку (п. 25)  —  приказ Министра обороны РФ от 30.10.2015 № 660</t>
        </is>
      </c>
    </row>
    <row r="2" ht="48" customHeight="1">
      <c r="A2" s="24" t="inlineStr">
        <is>
          <t>ЖУРНАЛ УЧЕТА ВРЕМЕНИ ПРИВЛЕЧЕНИЯ ВОЕННОСЛУЖАЩИХ, ПРОХОДЯЩИХ ВОЕННУЮ СЛУЖБУ ПО КОНТРАКТУ, К ИСПОЛНЕНИЮ ОБЯЗАННОСТЕЙ ВОЕННОЙ СЛУЖБЫ В РАБОЧИЕ ДНИ СВЕРХ УСТАНОВЛЕННОЙ ПРОДОЛЖИТЕЛЬНОСТИ ЕЖЕНЕДЕЛЬНОГО СЛУЖЕБНОГО ВРЕМЕНИ, ПРИВЛЕЧЕНИЯ ЭТИХ ВОЕННОСЛУЖАЩИХ К ИСПОЛНЕНИЮ ОБЯЗАННОСТЕЙ ВОЕННОЙ СЛУЖБЫ В ВЫХОДНЫЕ И ПРАЗДНИЧНЫЕ ДНИ И ПРЕДОСТАВЛЕНИЯ ИМ ДОПОЛНИТЕЛЬНОГО ВРЕМЕНИ ОТДЫХА</t>
        </is>
      </c>
    </row>
    <row r="3">
      <c r="A3" s="25" t="inlineStr">
        <is>
          <t>на</t>
        </is>
      </c>
      <c r="C3" s="7">
        <f>Анкета!C16</f>
        <v/>
      </c>
      <c r="D3" s="10" t="inlineStr">
        <is>
          <t>неделю</t>
        </is>
      </c>
      <c r="E3" s="26">
        <f>IFERROR(INDEX(Журнал_день!B$6:B$371,MATCH(C3,Журнал_день!D$6:D$371,0)),"")</f>
        <v/>
      </c>
      <c r="H3" s="27">
        <f>Анкета!C12</f>
        <v/>
      </c>
      <c r="I3" s="10" t="inlineStr">
        <is>
          <t>г.</t>
        </is>
      </c>
      <c r="J3" s="28">
        <f>CONCATENATE(Анкета!C8,"   в/ч ",Анкета!C9)</f>
        <v/>
      </c>
    </row>
    <row r="4" ht="22" customHeight="1">
      <c r="A4" s="18" t="inlineStr">
        <is>
          <t>№
п/п</t>
        </is>
      </c>
      <c r="B4" s="18" t="inlineStr">
        <is>
          <t>Воинская
должность</t>
        </is>
      </c>
      <c r="C4" s="18" t="inlineStr">
        <is>
          <t>Воинское
звание</t>
        </is>
      </c>
      <c r="D4" s="18" t="inlineStr">
        <is>
          <t>Фамилия, имя,
отчество</t>
        </is>
      </c>
      <c r="E4" s="18" t="inlineStr">
        <is>
          <t>Учет сверхурочного
времени, ч</t>
        </is>
      </c>
      <c r="F4" s="18" t="inlineStr">
        <is>
          <t>Учет времени привлечения
в выходные и праздничные дни, ч</t>
        </is>
      </c>
      <c r="G4" s="18" t="inlineStr">
        <is>
          <t>Суммарное время
привлечения к военной службе, ч</t>
        </is>
      </c>
      <c r="H4" s="18" t="inlineStr">
        <is>
          <t>Учет предоставления дополнительного
времени отдыха</t>
        </is>
      </c>
      <c r="I4" s="18" t="n"/>
      <c r="J4" s="18" t="inlineStr">
        <is>
          <t>Учет присоединенных дополнительных
суток отдыха к отпуску</t>
        </is>
      </c>
      <c r="K4" s="18" t="n"/>
      <c r="L4" s="18" t="inlineStr">
        <is>
          <t>Учет нереализованного
времени отдыха, ч, сут.</t>
        </is>
      </c>
      <c r="M4" s="18" t="inlineStr">
        <is>
          <t>Подпись
военнослужащего</t>
        </is>
      </c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8" t="inlineStr">
        <is>
          <t>Дата</t>
        </is>
      </c>
      <c r="I5" s="18" t="inlineStr">
        <is>
          <t>Время, ч</t>
        </is>
      </c>
      <c r="J5" s="18" t="inlineStr">
        <is>
          <t>Дата</t>
        </is>
      </c>
      <c r="K5" s="18" t="inlineStr">
        <is>
          <t>Время, сут.</t>
        </is>
      </c>
      <c r="L5" s="18" t="n"/>
      <c r="M5" s="18" t="n"/>
    </row>
    <row r="6" ht="18" customHeight="1">
      <c r="A6" s="18" t="n"/>
      <c r="B6" s="18" t="n"/>
      <c r="C6" s="18" t="n"/>
      <c r="D6" s="18" t="n"/>
      <c r="E6" s="18" t="n"/>
      <c r="F6" s="18" t="n"/>
      <c r="G6" s="18" t="n"/>
      <c r="H6" s="29" t="n"/>
      <c r="I6" s="29" t="n"/>
      <c r="J6" s="29" t="n"/>
      <c r="K6" s="29" t="n"/>
      <c r="L6" s="18" t="n"/>
      <c r="M6" s="18" t="n"/>
    </row>
    <row r="7">
      <c r="A7" s="4" t="n">
        <v>1</v>
      </c>
      <c r="B7" s="4" t="n">
        <v>2</v>
      </c>
      <c r="C7" s="4" t="n">
        <v>3</v>
      </c>
      <c r="D7" s="4" t="n">
        <v>4</v>
      </c>
      <c r="E7" s="4" t="n">
        <v>5</v>
      </c>
      <c r="F7" s="4" t="n">
        <v>6</v>
      </c>
      <c r="G7" s="4" t="n">
        <v>7</v>
      </c>
      <c r="H7" s="4" t="n">
        <v>8</v>
      </c>
      <c r="I7" s="4" t="n">
        <v>9</v>
      </c>
      <c r="J7" s="4" t="n">
        <v>10</v>
      </c>
      <c r="K7" s="4" t="n">
        <v>11</v>
      </c>
      <c r="L7" s="4" t="n">
        <v>12</v>
      </c>
      <c r="M7" s="4" t="n">
        <v>13</v>
      </c>
    </row>
    <row r="8" ht="22" customHeight="1">
      <c r="A8" s="30" t="n">
        <v>1</v>
      </c>
      <c r="B8" s="30">
        <f>Анкета!C7</f>
        <v/>
      </c>
      <c r="C8" s="30">
        <f>Анкета!C6</f>
        <v/>
      </c>
      <c r="D8" s="30">
        <f>Анкета!B19</f>
        <v/>
      </c>
      <c r="E8" s="31">
        <f>SUMIFS(Журнал_день!I$6:I$371,Журнал_день!D$6:D$371,$C$3)</f>
        <v/>
      </c>
      <c r="F8" s="31">
        <f>SUMIFS(Журнал_день!J$6:J$371,Журнал_день!D$6:D$371,$C$3)</f>
        <v/>
      </c>
      <c r="G8" s="31">
        <f>E8+F8</f>
        <v/>
      </c>
      <c r="H8" s="32" t="n"/>
      <c r="I8" s="31">
        <f>SUMIFS(Журнал_день!K$6:K$371,Журнал_день!D$6:D$371,$C$3)</f>
        <v/>
      </c>
      <c r="J8" s="32" t="n"/>
      <c r="K8" s="31">
        <f>SUMIFS(Журнал_день!L$6:L$371,Журнал_день!D$6:D$371,$C$3)</f>
        <v/>
      </c>
      <c r="L8" s="31">
        <f>IF(N8&lt;=0,0,IF(N8&lt;Анкета!C15,N8&amp;" ч",INT(N8/Анкета!C15)&amp;" сут. "&amp;MOD(N8,Анкета!C15)&amp;" ч"))</f>
        <v/>
      </c>
      <c r="M8" s="32" t="n"/>
      <c r="N8">
        <f>SUMIFS(Журнал_день!I$6:I$371,Журнал_день!D$6:D$371,"&lt;="&amp;$C$3)+SUMIFS(Журнал_день!J$6:J$371,Журнал_день!D$6:D$371,"&lt;="&amp;$C$3)-SUMIFS(Журнал_день!K$6:K$371,Журнал_день!D$6:D$371,"&lt;="&amp;$C$3)-SUMIFS(Журнал_день!L$6:L$371,Журнал_день!D$6:D$371,"&lt;="&amp;$C$3)*Анкета!C15</f>
        <v/>
      </c>
    </row>
    <row r="9" ht="18" customHeight="1">
      <c r="A9" s="30" t="n">
        <v>2</v>
      </c>
      <c r="B9" s="32" t="n"/>
      <c r="C9" s="32" t="n"/>
      <c r="D9" s="32" t="n"/>
      <c r="E9" s="32" t="n"/>
      <c r="F9" s="32" t="n"/>
      <c r="G9" s="31">
        <f>IF(OR(E9&lt;&gt;"",F9&lt;&gt;""),N(E9)+N(F9),"")</f>
        <v/>
      </c>
      <c r="H9" s="32" t="n"/>
      <c r="I9" s="32" t="n"/>
      <c r="J9" s="32" t="n"/>
      <c r="K9" s="32" t="n"/>
      <c r="L9" s="32" t="n"/>
      <c r="M9" s="32" t="n"/>
    </row>
    <row r="10" ht="18" customHeight="1">
      <c r="A10" s="30" t="n">
        <v>3</v>
      </c>
      <c r="B10" s="32" t="n"/>
      <c r="C10" s="32" t="n"/>
      <c r="D10" s="32" t="n"/>
      <c r="E10" s="32" t="n"/>
      <c r="F10" s="32" t="n"/>
      <c r="G10" s="31">
        <f>IF(OR(E10&lt;&gt;"",F10&lt;&gt;""),N(E10)+N(F10),"")</f>
        <v/>
      </c>
      <c r="H10" s="32" t="n"/>
      <c r="I10" s="32" t="n"/>
      <c r="J10" s="32" t="n"/>
      <c r="K10" s="32" t="n"/>
      <c r="L10" s="32" t="n"/>
      <c r="M10" s="32" t="n"/>
    </row>
    <row r="11" ht="18" customHeight="1">
      <c r="A11" s="30" t="n">
        <v>4</v>
      </c>
      <c r="B11" s="32" t="n"/>
      <c r="C11" s="32" t="n"/>
      <c r="D11" s="32" t="n"/>
      <c r="E11" s="32" t="n"/>
      <c r="F11" s="32" t="n"/>
      <c r="G11" s="31">
        <f>IF(OR(E11&lt;&gt;"",F11&lt;&gt;""),N(E11)+N(F11),"")</f>
        <v/>
      </c>
      <c r="H11" s="32" t="n"/>
      <c r="I11" s="32" t="n"/>
      <c r="J11" s="32" t="n"/>
      <c r="K11" s="32" t="n"/>
      <c r="L11" s="32" t="n"/>
      <c r="M11" s="32" t="n"/>
    </row>
    <row r="12" ht="18" customHeight="1">
      <c r="A12" s="30" t="n">
        <v>5</v>
      </c>
      <c r="B12" s="32" t="n"/>
      <c r="C12" s="32" t="n"/>
      <c r="D12" s="32" t="n"/>
      <c r="E12" s="32" t="n"/>
      <c r="F12" s="32" t="n"/>
      <c r="G12" s="31">
        <f>IF(OR(E12&lt;&gt;"",F12&lt;&gt;""),N(E12)+N(F12),"")</f>
        <v/>
      </c>
      <c r="H12" s="32" t="n"/>
      <c r="I12" s="32" t="n"/>
      <c r="J12" s="32" t="n"/>
      <c r="K12" s="32" t="n"/>
      <c r="L12" s="32" t="n"/>
      <c r="M12" s="32" t="n"/>
    </row>
    <row r="13" ht="18" customHeight="1">
      <c r="A13" s="30" t="n">
        <v>6</v>
      </c>
      <c r="B13" s="32" t="n"/>
      <c r="C13" s="32" t="n"/>
      <c r="D13" s="32" t="n"/>
      <c r="E13" s="32" t="n"/>
      <c r="F13" s="32" t="n"/>
      <c r="G13" s="31">
        <f>IF(OR(E13&lt;&gt;"",F13&lt;&gt;""),N(E13)+N(F13),"")</f>
        <v/>
      </c>
      <c r="H13" s="32" t="n"/>
      <c r="I13" s="32" t="n"/>
      <c r="J13" s="32" t="n"/>
      <c r="K13" s="32" t="n"/>
      <c r="L13" s="32" t="n"/>
      <c r="M13" s="32" t="n"/>
    </row>
    <row r="14" ht="18" customHeight="1">
      <c r="A14" s="30" t="n">
        <v>7</v>
      </c>
      <c r="B14" s="32" t="n"/>
      <c r="C14" s="32" t="n"/>
      <c r="D14" s="32" t="n"/>
      <c r="E14" s="32" t="n"/>
      <c r="F14" s="32" t="n"/>
      <c r="G14" s="31">
        <f>IF(OR(E14&lt;&gt;"",F14&lt;&gt;""),N(E14)+N(F14),"")</f>
        <v/>
      </c>
      <c r="H14" s="32" t="n"/>
      <c r="I14" s="32" t="n"/>
      <c r="J14" s="32" t="n"/>
      <c r="K14" s="32" t="n"/>
      <c r="L14" s="32" t="n"/>
      <c r="M14" s="32" t="n"/>
    </row>
    <row r="15" ht="18" customHeight="1">
      <c r="A15" s="30" t="n">
        <v>8</v>
      </c>
      <c r="B15" s="32" t="n"/>
      <c r="C15" s="32" t="n"/>
      <c r="D15" s="32" t="n"/>
      <c r="E15" s="32" t="n"/>
      <c r="F15" s="32" t="n"/>
      <c r="G15" s="31">
        <f>IF(OR(E15&lt;&gt;"",F15&lt;&gt;""),N(E15)+N(F15),"")</f>
        <v/>
      </c>
      <c r="H15" s="32" t="n"/>
      <c r="I15" s="32" t="n"/>
      <c r="J15" s="32" t="n"/>
      <c r="K15" s="32" t="n"/>
      <c r="L15" s="32" t="n"/>
      <c r="M15" s="32" t="n"/>
    </row>
    <row r="16" ht="18" customHeight="1">
      <c r="A16" s="30" t="n">
        <v>9</v>
      </c>
      <c r="B16" s="32" t="n"/>
      <c r="C16" s="32" t="n"/>
      <c r="D16" s="32" t="n"/>
      <c r="E16" s="32" t="n"/>
      <c r="F16" s="32" t="n"/>
      <c r="G16" s="31">
        <f>IF(OR(E16&lt;&gt;"",F16&lt;&gt;""),N(E16)+N(F16),"")</f>
        <v/>
      </c>
      <c r="H16" s="32" t="n"/>
      <c r="I16" s="32" t="n"/>
      <c r="J16" s="32" t="n"/>
      <c r="K16" s="32" t="n"/>
      <c r="L16" s="32" t="n"/>
      <c r="M16" s="32" t="n"/>
    </row>
    <row r="17" ht="18" customHeight="1">
      <c r="A17" s="30" t="n">
        <v>10</v>
      </c>
      <c r="B17" s="32" t="n"/>
      <c r="C17" s="32" t="n"/>
      <c r="D17" s="32" t="n"/>
      <c r="E17" s="32" t="n"/>
      <c r="F17" s="32" t="n"/>
      <c r="G17" s="31">
        <f>IF(OR(E17&lt;&gt;"",F17&lt;&gt;""),N(E17)+N(F17),"")</f>
        <v/>
      </c>
      <c r="H17" s="32" t="n"/>
      <c r="I17" s="32" t="n"/>
      <c r="J17" s="32" t="n"/>
      <c r="K17" s="32" t="n"/>
      <c r="L17" s="32" t="n"/>
      <c r="M17" s="32" t="n"/>
    </row>
    <row r="18" ht="18" customHeight="1">
      <c r="A18" s="30" t="n">
        <v>11</v>
      </c>
      <c r="B18" s="32" t="n"/>
      <c r="C18" s="32" t="n"/>
      <c r="D18" s="32" t="n"/>
      <c r="E18" s="32" t="n"/>
      <c r="F18" s="32" t="n"/>
      <c r="G18" s="31">
        <f>IF(OR(E18&lt;&gt;"",F18&lt;&gt;""),N(E18)+N(F18),"")</f>
        <v/>
      </c>
      <c r="H18" s="32" t="n"/>
      <c r="I18" s="32" t="n"/>
      <c r="J18" s="32" t="n"/>
      <c r="K18" s="32" t="n"/>
      <c r="L18" s="32" t="n"/>
      <c r="M18" s="32" t="n"/>
    </row>
    <row r="19" ht="18" customHeight="1">
      <c r="A19" s="30" t="n">
        <v>12</v>
      </c>
      <c r="B19" s="32" t="n"/>
      <c r="C19" s="32" t="n"/>
      <c r="D19" s="32" t="n"/>
      <c r="E19" s="32" t="n"/>
      <c r="F19" s="32" t="n"/>
      <c r="G19" s="31">
        <f>IF(OR(E19&lt;&gt;"",F19&lt;&gt;""),N(E19)+N(F19),"")</f>
        <v/>
      </c>
      <c r="H19" s="32" t="n"/>
      <c r="I19" s="32" t="n"/>
      <c r="J19" s="32" t="n"/>
      <c r="K19" s="32" t="n"/>
      <c r="L19" s="32" t="n"/>
      <c r="M19" s="32" t="n"/>
    </row>
    <row r="20" ht="18" customHeight="1">
      <c r="A20" s="30" t="n">
        <v>13</v>
      </c>
      <c r="B20" s="32" t="n"/>
      <c r="C20" s="32" t="n"/>
      <c r="D20" s="32" t="n"/>
      <c r="E20" s="32" t="n"/>
      <c r="F20" s="32" t="n"/>
      <c r="G20" s="31">
        <f>IF(OR(E20&lt;&gt;"",F20&lt;&gt;""),N(E20)+N(F20),"")</f>
        <v/>
      </c>
      <c r="H20" s="32" t="n"/>
      <c r="I20" s="32" t="n"/>
      <c r="J20" s="32" t="n"/>
      <c r="K20" s="32" t="n"/>
      <c r="L20" s="32" t="n"/>
      <c r="M20" s="32" t="n"/>
    </row>
    <row r="21" ht="18" customHeight="1">
      <c r="A21" s="30" t="n">
        <v>14</v>
      </c>
      <c r="B21" s="32" t="n"/>
      <c r="C21" s="32" t="n"/>
      <c r="D21" s="32" t="n"/>
      <c r="E21" s="32" t="n"/>
      <c r="F21" s="32" t="n"/>
      <c r="G21" s="31">
        <f>IF(OR(E21&lt;&gt;"",F21&lt;&gt;""),N(E21)+N(F21),"")</f>
        <v/>
      </c>
      <c r="H21" s="32" t="n"/>
      <c r="I21" s="32" t="n"/>
      <c r="J21" s="32" t="n"/>
      <c r="K21" s="32" t="n"/>
      <c r="L21" s="32" t="n"/>
      <c r="M21" s="32" t="n"/>
    </row>
    <row r="22" ht="18" customHeight="1">
      <c r="A22" s="30" t="n">
        <v>15</v>
      </c>
      <c r="B22" s="32" t="n"/>
      <c r="C22" s="32" t="n"/>
      <c r="D22" s="32" t="n"/>
      <c r="E22" s="32" t="n"/>
      <c r="F22" s="32" t="n"/>
      <c r="G22" s="31">
        <f>IF(OR(E22&lt;&gt;"",F22&lt;&gt;""),N(E22)+N(F22),"")</f>
        <v/>
      </c>
      <c r="H22" s="32" t="n"/>
      <c r="I22" s="32" t="n"/>
      <c r="J22" s="32" t="n"/>
      <c r="K22" s="32" t="n"/>
      <c r="L22" s="32" t="n"/>
      <c r="M22" s="32" t="n"/>
    </row>
    <row r="23" ht="18" customHeight="1">
      <c r="A23" s="30" t="n">
        <v>16</v>
      </c>
      <c r="B23" s="32" t="n"/>
      <c r="C23" s="32" t="n"/>
      <c r="D23" s="32" t="n"/>
      <c r="E23" s="32" t="n"/>
      <c r="F23" s="32" t="n"/>
      <c r="G23" s="31">
        <f>IF(OR(E23&lt;&gt;"",F23&lt;&gt;""),N(E23)+N(F23),"")</f>
        <v/>
      </c>
      <c r="H23" s="32" t="n"/>
      <c r="I23" s="32" t="n"/>
      <c r="J23" s="32" t="n"/>
      <c r="K23" s="32" t="n"/>
      <c r="L23" s="32" t="n"/>
      <c r="M23" s="32" t="n"/>
    </row>
    <row r="25">
      <c r="A25" s="10" t="inlineStr">
        <is>
          <t>Командир (начальник) подразделения</t>
        </is>
      </c>
      <c r="E25" s="33">
        <f>Анкета!C8</f>
        <v/>
      </c>
    </row>
    <row r="26">
      <c r="A26" s="34" t="inlineStr">
        <is>
          <t>________________________________________________________________  (воинское звание, подпись, инициал имени, фамилия)</t>
        </is>
      </c>
    </row>
    <row r="28">
      <c r="A28" s="35" t="inlineStr">
        <is>
          <t>Порядок ведения (приказ МО РФ № 660, приложение № 7): учёт ведётся ЕЖЕНЕДЕЛЬНО. Графы 2–4 — по штатно-должностной книге. Графа 5 — сверхурочка в рабочие дни (часы). Графы 5–7 и 9 — в часах. Графа 11 — в сутках. Графа 12 — в часах, если остаток меньше продолжительности служебного дня, и в сутках, если больше. Записи доводятся до военнослужащих под роспись каждую неделю. Боевое дежурство в эту форму часами не ставьте — оно на листе «БД_сутки».</t>
        </is>
      </c>
    </row>
    <row r="29"/>
    <row r="30"/>
    <row r="31"/>
  </sheetData>
  <mergeCells count="24">
    <mergeCell ref="D4:D6"/>
    <mergeCell ref="L4:L6"/>
    <mergeCell ref="J3:M3"/>
    <mergeCell ref="E25:H25"/>
    <mergeCell ref="H4:I4"/>
    <mergeCell ref="G4:G6"/>
    <mergeCell ref="A4:A6"/>
    <mergeCell ref="M4:M6"/>
    <mergeCell ref="B4:B6"/>
    <mergeCell ref="A3:B3"/>
    <mergeCell ref="I5:I6"/>
    <mergeCell ref="F4:F6"/>
    <mergeCell ref="J4:K4"/>
    <mergeCell ref="A1:M1"/>
    <mergeCell ref="E4:E6"/>
    <mergeCell ref="A25:D25"/>
    <mergeCell ref="E3:G3"/>
    <mergeCell ref="C4:C6"/>
    <mergeCell ref="H5:H6"/>
    <mergeCell ref="J5:J6"/>
    <mergeCell ref="A26:M26"/>
    <mergeCell ref="A28:M31"/>
    <mergeCell ref="A2:M2"/>
    <mergeCell ref="K5:K6"/>
  </mergeCells>
  <pageMargins left="0.4" right="0.4" top="0.5" bottom="0.5" header="0.5" footer="0.5"/>
  <pageSetup orientation="landscape" paperSize="9" fitToHeight="0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3D"/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6" customWidth="1" min="4" max="4"/>
    <col width="14" customWidth="1" min="5" max="5"/>
    <col width="20" customWidth="1" min="6" max="6"/>
    <col width="26" customWidth="1" min="7" max="7"/>
  </cols>
  <sheetData>
    <row r="1" ht="28" customHeight="1">
      <c r="A1" s="15" t="inlineStr">
        <is>
          <t>УЧЁТ БОЕВОГО ДЕЖУРСТВА И ИНЫХ МЕРОПРИЯТИЙ БЕЗ ОГРАНИЧЕНИЯ СЛУЖЕБНОГО ВРЕМЕНИ  (п. 3 ст. 11 закона № 76-ФЗ, п. 2 Перечня приказа МО РФ № 492)</t>
        </is>
      </c>
    </row>
    <row r="2" ht="32" customHeight="1">
      <c r="A2" s="3" t="inlineStr">
        <is>
          <t>Время учитывается в СУТКАХ. За каждые трое суток привлечения — двое суток отдыха (п. 5 приложения № 2 к Положению о порядке прохождения военной службы). Эти сутки можно заменить деньгами по рапорту (приказ МО РФ № 80).</t>
        </is>
      </c>
    </row>
    <row r="3">
      <c r="A3" s="4" t="inlineStr">
        <is>
          <t>Показатель</t>
        </is>
      </c>
      <c r="B3" s="36" t="n"/>
      <c r="C3" s="4" t="inlineStr">
        <is>
          <t>Значение</t>
        </is>
      </c>
    </row>
    <row r="4" ht="20" customHeight="1">
      <c r="A4" s="37" t="inlineStr">
        <is>
          <t>Суток боевого дежурства за год (из Журнал_день, колонка «БД»)</t>
        </is>
      </c>
      <c r="B4" s="29" t="n"/>
      <c r="C4" s="27">
        <f>SUM(Журнал_день!G6:G371)</f>
        <v/>
      </c>
    </row>
    <row r="5" ht="20" customHeight="1">
      <c r="A5" s="37" t="inlineStr">
        <is>
          <t>Положено суток отдыха (2 за каждые 3)</t>
        </is>
      </c>
      <c r="B5" s="29" t="n"/>
      <c r="C5" s="27">
        <f>INT(C4/3)*2</f>
        <v/>
      </c>
    </row>
    <row r="6" ht="20" customHeight="1">
      <c r="A6" s="37" t="inlineStr">
        <is>
          <t>Остаток суток БД, не вошедших в тройку (не сгорает)</t>
        </is>
      </c>
      <c r="B6" s="29" t="n"/>
      <c r="C6" s="27">
        <f>MOD(C4,3)</f>
        <v/>
      </c>
    </row>
    <row r="7" ht="20" customHeight="1">
      <c r="A7" s="37" t="inlineStr">
        <is>
          <t>Суток суточного наряда за год</t>
        </is>
      </c>
      <c r="B7" s="29" t="n"/>
      <c r="C7" s="27">
        <f>SUM(Журнал_день!H6:H371)</f>
        <v/>
      </c>
    </row>
    <row r="8" ht="20" customHeight="1">
      <c r="A8" s="37" t="inlineStr">
        <is>
          <t>Отдых уже дан, часов (журнал 660, гр. 9)</t>
        </is>
      </c>
      <c r="B8" s="29" t="n"/>
      <c r="C8" s="27">
        <f>SUM(Журнал_день!K6:K371)</f>
        <v/>
      </c>
    </row>
    <row r="9" ht="20" customHeight="1">
      <c r="A9" s="37" t="inlineStr">
        <is>
          <t>Присоединено к отпуску, суток (гр. 11)</t>
        </is>
      </c>
      <c r="B9" s="29" t="n"/>
      <c r="C9" s="27">
        <f>SUM(Журнал_день!L6:L371)</f>
        <v/>
      </c>
    </row>
    <row r="10" ht="20" customHeight="1">
      <c r="A10" s="37" t="inlineStr">
        <is>
          <t>Суток отдыха за БД ещё не использовано</t>
        </is>
      </c>
      <c r="B10" s="29" t="n"/>
      <c r="C10" s="27">
        <f>MAX(0,C5-C9)</f>
        <v/>
      </c>
    </row>
    <row r="11" ht="20" customHeight="1">
      <c r="A11" s="37" t="inlineStr">
        <is>
          <t>Сумма компенсации за неиспользованные сутки БД, руб.</t>
        </is>
      </c>
      <c r="B11" s="29" t="n"/>
      <c r="C11" s="38">
        <f>Анкета!B24*C10</f>
        <v/>
      </c>
    </row>
    <row r="13">
      <c r="A13" s="39" t="inlineStr">
        <is>
          <t>Разбивка по месяцам (нарастающий итог отдыха — с начала года, не помесячно)</t>
        </is>
      </c>
    </row>
    <row r="14">
      <c r="A14" s="18" t="inlineStr">
        <is>
          <t>Месяц</t>
        </is>
      </c>
      <c r="B14" s="18" t="inlineStr">
        <is>
          <t>Суток БД</t>
        </is>
      </c>
      <c r="C14" s="18" t="inlineStr">
        <is>
          <t>Наряд, сут.</t>
        </is>
      </c>
      <c r="D14" s="18" t="inlineStr">
        <is>
          <t>Сверхурочно, ч</t>
        </is>
      </c>
      <c r="E14" s="18" t="inlineStr">
        <is>
          <t>Выходные, ч</t>
        </is>
      </c>
      <c r="F14" s="18" t="inlineStr">
        <is>
          <t>БД с начала года</t>
        </is>
      </c>
      <c r="G14" s="18" t="inlineStr">
        <is>
          <t>Положено отдыха нарастающим</t>
        </is>
      </c>
    </row>
    <row r="15">
      <c r="A15" s="40" t="inlineStr">
        <is>
          <t>январь</t>
        </is>
      </c>
      <c r="B15" s="31">
        <f>SUMIF(Журнал_день!$E$6:$E$371,1,Журнал_день!$G$6:$G$371)</f>
        <v/>
      </c>
      <c r="C15" s="31">
        <f>SUMIF(Журнал_день!$E$6:$E$371,1,Журнал_день!$H$6:$H$371)</f>
        <v/>
      </c>
      <c r="D15" s="31">
        <f>SUMIF(Журнал_день!$E$6:$E$371,1,Журнал_день!$I$6:$I$371)</f>
        <v/>
      </c>
      <c r="E15" s="31">
        <f>SUMIF(Журнал_день!$E$6:$E$371,1,Журнал_день!$J$6:$J$371)</f>
        <v/>
      </c>
      <c r="F15" s="31">
        <f>B15</f>
        <v/>
      </c>
      <c r="G15" s="31">
        <f>INT(F15/3)*2</f>
        <v/>
      </c>
    </row>
    <row r="16">
      <c r="A16" s="40" t="inlineStr">
        <is>
          <t>февраль</t>
        </is>
      </c>
      <c r="B16" s="31">
        <f>SUMIF(Журнал_день!$E$6:$E$371,2,Журнал_день!$G$6:$G$371)</f>
        <v/>
      </c>
      <c r="C16" s="31">
        <f>SUMIF(Журнал_день!$E$6:$E$371,2,Журнал_день!$H$6:$H$371)</f>
        <v/>
      </c>
      <c r="D16" s="31">
        <f>SUMIF(Журнал_день!$E$6:$E$371,2,Журнал_день!$I$6:$I$371)</f>
        <v/>
      </c>
      <c r="E16" s="31">
        <f>SUMIF(Журнал_день!$E$6:$E$371,2,Журнал_день!$J$6:$J$371)</f>
        <v/>
      </c>
      <c r="F16" s="31">
        <f>F15+B16</f>
        <v/>
      </c>
      <c r="G16" s="31">
        <f>INT(F16/3)*2</f>
        <v/>
      </c>
    </row>
    <row r="17">
      <c r="A17" s="40" t="inlineStr">
        <is>
          <t>март</t>
        </is>
      </c>
      <c r="B17" s="31">
        <f>SUMIF(Журнал_день!$E$6:$E$371,3,Журнал_день!$G$6:$G$371)</f>
        <v/>
      </c>
      <c r="C17" s="31">
        <f>SUMIF(Журнал_день!$E$6:$E$371,3,Журнал_день!$H$6:$H$371)</f>
        <v/>
      </c>
      <c r="D17" s="31">
        <f>SUMIF(Журнал_день!$E$6:$E$371,3,Журнал_день!$I$6:$I$371)</f>
        <v/>
      </c>
      <c r="E17" s="31">
        <f>SUMIF(Журнал_день!$E$6:$E$371,3,Журнал_день!$J$6:$J$371)</f>
        <v/>
      </c>
      <c r="F17" s="31">
        <f>F16+B17</f>
        <v/>
      </c>
      <c r="G17" s="31">
        <f>INT(F17/3)*2</f>
        <v/>
      </c>
    </row>
    <row r="18">
      <c r="A18" s="40" t="inlineStr">
        <is>
          <t>апрель</t>
        </is>
      </c>
      <c r="B18" s="31">
        <f>SUMIF(Журнал_день!$E$6:$E$371,4,Журнал_день!$G$6:$G$371)</f>
        <v/>
      </c>
      <c r="C18" s="31">
        <f>SUMIF(Журнал_день!$E$6:$E$371,4,Журнал_день!$H$6:$H$371)</f>
        <v/>
      </c>
      <c r="D18" s="31">
        <f>SUMIF(Журнал_день!$E$6:$E$371,4,Журнал_день!$I$6:$I$371)</f>
        <v/>
      </c>
      <c r="E18" s="31">
        <f>SUMIF(Журнал_день!$E$6:$E$371,4,Журнал_день!$J$6:$J$371)</f>
        <v/>
      </c>
      <c r="F18" s="31">
        <f>F17+B18</f>
        <v/>
      </c>
      <c r="G18" s="31">
        <f>INT(F18/3)*2</f>
        <v/>
      </c>
    </row>
    <row r="19">
      <c r="A19" s="40" t="inlineStr">
        <is>
          <t>май</t>
        </is>
      </c>
      <c r="B19" s="31">
        <f>SUMIF(Журнал_день!$E$6:$E$371,5,Журнал_день!$G$6:$G$371)</f>
        <v/>
      </c>
      <c r="C19" s="31">
        <f>SUMIF(Журнал_день!$E$6:$E$371,5,Журнал_день!$H$6:$H$371)</f>
        <v/>
      </c>
      <c r="D19" s="31">
        <f>SUMIF(Журнал_день!$E$6:$E$371,5,Журнал_день!$I$6:$I$371)</f>
        <v/>
      </c>
      <c r="E19" s="31">
        <f>SUMIF(Журнал_день!$E$6:$E$371,5,Журнал_день!$J$6:$J$371)</f>
        <v/>
      </c>
      <c r="F19" s="31">
        <f>F18+B19</f>
        <v/>
      </c>
      <c r="G19" s="31">
        <f>INT(F19/3)*2</f>
        <v/>
      </c>
    </row>
    <row r="20">
      <c r="A20" s="40" t="inlineStr">
        <is>
          <t>июнь</t>
        </is>
      </c>
      <c r="B20" s="31">
        <f>SUMIF(Журнал_день!$E$6:$E$371,6,Журнал_день!$G$6:$G$371)</f>
        <v/>
      </c>
      <c r="C20" s="31">
        <f>SUMIF(Журнал_день!$E$6:$E$371,6,Журнал_день!$H$6:$H$371)</f>
        <v/>
      </c>
      <c r="D20" s="31">
        <f>SUMIF(Журнал_день!$E$6:$E$371,6,Журнал_день!$I$6:$I$371)</f>
        <v/>
      </c>
      <c r="E20" s="31">
        <f>SUMIF(Журнал_день!$E$6:$E$371,6,Журнал_день!$J$6:$J$371)</f>
        <v/>
      </c>
      <c r="F20" s="31">
        <f>F19+B20</f>
        <v/>
      </c>
      <c r="G20" s="31">
        <f>INT(F20/3)*2</f>
        <v/>
      </c>
    </row>
    <row r="21">
      <c r="A21" s="40" t="inlineStr">
        <is>
          <t>июль</t>
        </is>
      </c>
      <c r="B21" s="31">
        <f>SUMIF(Журнал_день!$E$6:$E$371,7,Журнал_день!$G$6:$G$371)</f>
        <v/>
      </c>
      <c r="C21" s="31">
        <f>SUMIF(Журнал_день!$E$6:$E$371,7,Журнал_день!$H$6:$H$371)</f>
        <v/>
      </c>
      <c r="D21" s="31">
        <f>SUMIF(Журнал_день!$E$6:$E$371,7,Журнал_день!$I$6:$I$371)</f>
        <v/>
      </c>
      <c r="E21" s="31">
        <f>SUMIF(Журнал_день!$E$6:$E$371,7,Журнал_день!$J$6:$J$371)</f>
        <v/>
      </c>
      <c r="F21" s="31">
        <f>F20+B21</f>
        <v/>
      </c>
      <c r="G21" s="31">
        <f>INT(F21/3)*2</f>
        <v/>
      </c>
    </row>
    <row r="22">
      <c r="A22" s="40" t="inlineStr">
        <is>
          <t>август</t>
        </is>
      </c>
      <c r="B22" s="31">
        <f>SUMIF(Журнал_день!$E$6:$E$371,8,Журнал_день!$G$6:$G$371)</f>
        <v/>
      </c>
      <c r="C22" s="31">
        <f>SUMIF(Журнал_день!$E$6:$E$371,8,Журнал_день!$H$6:$H$371)</f>
        <v/>
      </c>
      <c r="D22" s="31">
        <f>SUMIF(Журнал_день!$E$6:$E$371,8,Журнал_день!$I$6:$I$371)</f>
        <v/>
      </c>
      <c r="E22" s="31">
        <f>SUMIF(Журнал_день!$E$6:$E$371,8,Журнал_день!$J$6:$J$371)</f>
        <v/>
      </c>
      <c r="F22" s="31">
        <f>F21+B22</f>
        <v/>
      </c>
      <c r="G22" s="31">
        <f>INT(F22/3)*2</f>
        <v/>
      </c>
    </row>
    <row r="23">
      <c r="A23" s="40" t="inlineStr">
        <is>
          <t>сентябрь</t>
        </is>
      </c>
      <c r="B23" s="31">
        <f>SUMIF(Журнал_день!$E$6:$E$371,9,Журнал_день!$G$6:$G$371)</f>
        <v/>
      </c>
      <c r="C23" s="31">
        <f>SUMIF(Журнал_день!$E$6:$E$371,9,Журнал_день!$H$6:$H$371)</f>
        <v/>
      </c>
      <c r="D23" s="31">
        <f>SUMIF(Журнал_день!$E$6:$E$371,9,Журнал_день!$I$6:$I$371)</f>
        <v/>
      </c>
      <c r="E23" s="31">
        <f>SUMIF(Журнал_день!$E$6:$E$371,9,Журнал_день!$J$6:$J$371)</f>
        <v/>
      </c>
      <c r="F23" s="31">
        <f>F22+B23</f>
        <v/>
      </c>
      <c r="G23" s="31">
        <f>INT(F23/3)*2</f>
        <v/>
      </c>
    </row>
    <row r="24">
      <c r="A24" s="40" t="inlineStr">
        <is>
          <t>октябрь</t>
        </is>
      </c>
      <c r="B24" s="31">
        <f>SUMIF(Журнал_день!$E$6:$E$371,10,Журнал_день!$G$6:$G$371)</f>
        <v/>
      </c>
      <c r="C24" s="31">
        <f>SUMIF(Журнал_день!$E$6:$E$371,10,Журнал_день!$H$6:$H$371)</f>
        <v/>
      </c>
      <c r="D24" s="31">
        <f>SUMIF(Журнал_день!$E$6:$E$371,10,Журнал_день!$I$6:$I$371)</f>
        <v/>
      </c>
      <c r="E24" s="31">
        <f>SUMIF(Журнал_день!$E$6:$E$371,10,Журнал_день!$J$6:$J$371)</f>
        <v/>
      </c>
      <c r="F24" s="31">
        <f>F23+B24</f>
        <v/>
      </c>
      <c r="G24" s="31">
        <f>INT(F24/3)*2</f>
        <v/>
      </c>
    </row>
    <row r="25">
      <c r="A25" s="40" t="inlineStr">
        <is>
          <t>ноябрь</t>
        </is>
      </c>
      <c r="B25" s="31">
        <f>SUMIF(Журнал_день!$E$6:$E$371,11,Журнал_день!$G$6:$G$371)</f>
        <v/>
      </c>
      <c r="C25" s="31">
        <f>SUMIF(Журнал_день!$E$6:$E$371,11,Журнал_день!$H$6:$H$371)</f>
        <v/>
      </c>
      <c r="D25" s="31">
        <f>SUMIF(Журнал_день!$E$6:$E$371,11,Журнал_день!$I$6:$I$371)</f>
        <v/>
      </c>
      <c r="E25" s="31">
        <f>SUMIF(Журнал_день!$E$6:$E$371,11,Журнал_день!$J$6:$J$371)</f>
        <v/>
      </c>
      <c r="F25" s="31">
        <f>F24+B25</f>
        <v/>
      </c>
      <c r="G25" s="31">
        <f>INT(F25/3)*2</f>
        <v/>
      </c>
    </row>
    <row r="26">
      <c r="A26" s="40" t="inlineStr">
        <is>
          <t>декабрь</t>
        </is>
      </c>
      <c r="B26" s="31">
        <f>SUMIF(Журнал_день!$E$6:$E$371,12,Журнал_день!$G$6:$G$371)</f>
        <v/>
      </c>
      <c r="C26" s="31">
        <f>SUMIF(Журнал_день!$E$6:$E$371,12,Журнал_день!$H$6:$H$371)</f>
        <v/>
      </c>
      <c r="D26" s="31">
        <f>SUMIF(Журнал_день!$E$6:$E$371,12,Журнал_день!$I$6:$I$371)</f>
        <v/>
      </c>
      <c r="E26" s="31">
        <f>SUMIF(Журнал_день!$E$6:$E$371,12,Журнал_день!$J$6:$J$371)</f>
        <v/>
      </c>
      <c r="F26" s="31">
        <f>F25+B26</f>
        <v/>
      </c>
      <c r="G26" s="31">
        <f>INT(F26/3)*2</f>
        <v/>
      </c>
    </row>
    <row r="27">
      <c r="A27" s="41" t="inlineStr">
        <is>
          <t>ИТОГО за год</t>
        </is>
      </c>
      <c r="B27" s="41">
        <f>SUM(B15:B26)</f>
        <v/>
      </c>
      <c r="C27" s="41">
        <f>SUM(C15:C26)</f>
        <v/>
      </c>
      <c r="D27" s="41">
        <f>SUM(D15:D26)</f>
        <v/>
      </c>
      <c r="E27" s="41">
        <f>SUM(E15:E26)</f>
        <v/>
      </c>
      <c r="F27" s="41">
        <f>F26</f>
        <v/>
      </c>
      <c r="G27" s="41">
        <f>G26</f>
        <v/>
      </c>
    </row>
    <row r="29">
      <c r="A29" s="14" t="inlineStr">
        <is>
          <t>Почему отдых не считают отдельно за январь и за февраль: остаток тройки переходит. 2 суток БД в январе + 1 сутки в феврале = 2 суток отдыха, а не ноль.</t>
        </is>
      </c>
    </row>
  </sheetData>
  <mergeCells count="13">
    <mergeCell ref="A4:B4"/>
    <mergeCell ref="A13:G13"/>
    <mergeCell ref="A1:G1"/>
    <mergeCell ref="A7:B7"/>
    <mergeCell ref="A11:B11"/>
    <mergeCell ref="A10:B10"/>
    <mergeCell ref="A5:B5"/>
    <mergeCell ref="A2:G2"/>
    <mergeCell ref="A29:G29"/>
    <mergeCell ref="A9:B9"/>
    <mergeCell ref="A8:B8"/>
    <mergeCell ref="A3:B3"/>
    <mergeCell ref="A6:B6"/>
  </mergeCells>
  <pageMargins left="0.4" right="0.4" top="0.5" bottom="0.5" header="0.5" footer="0.5"/>
  <pageSetup orientation="landscape" paperSize="9" fitToHeight="0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8" customWidth="1" min="3" max="3"/>
    <col width="42" customWidth="1" min="4" max="4"/>
  </cols>
  <sheetData>
    <row r="1" ht="26" customHeight="1">
      <c r="A1" s="1" t="inlineStr">
        <is>
          <t>ИТОГИ ЗА ДЕНЬ, МЕСЯЦ И ГОД</t>
        </is>
      </c>
    </row>
    <row r="3">
      <c r="A3" s="42" t="inlineStr">
        <is>
          <t>Дата, которую смотрим (за день)</t>
        </is>
      </c>
      <c r="B3" s="43" t="n"/>
      <c r="C3" s="44">
        <f>DATE(Анкета!C12,1,1)</f>
        <v/>
      </c>
      <c r="D3" s="45" t="inlineStr">
        <is>
          <t>← поменяйте дату в жёлтой ячейке</t>
        </is>
      </c>
    </row>
    <row r="5">
      <c r="A5" s="46" t="inlineStr">
        <is>
          <t>Этот день — боевое дежурство?</t>
        </is>
      </c>
      <c r="B5" s="29" t="n"/>
      <c r="C5" s="27">
        <f>IFERROR(IF(SUMIFS(Журнал_день!G$6:G$371,Журнал_день!B$6:B$371,C3)&gt;=1,"да","нет"),"—")</f>
        <v/>
      </c>
    </row>
    <row r="6">
      <c r="A6" s="46" t="inlineStr">
        <is>
          <t>Этот день — суточный наряд?</t>
        </is>
      </c>
      <c r="B6" s="29" t="n"/>
      <c r="C6" s="27">
        <f>IFERROR(IF(SUMIFS(Журнал_день!H$6:H$371,Журнал_день!B$6:B$371,C3)&gt;=1,"да","нет"),"—")</f>
        <v/>
      </c>
    </row>
    <row r="7">
      <c r="A7" s="46" t="inlineStr">
        <is>
          <t>Сверхурочно в этот день, ч</t>
        </is>
      </c>
      <c r="B7" s="29" t="n"/>
      <c r="C7" s="27">
        <f>IFERROR(SUMIFS(Журнал_день!I$6:I$371,Журнал_день!B$6:B$371,C3),0)</f>
        <v/>
      </c>
    </row>
    <row r="8">
      <c r="A8" s="46" t="inlineStr">
        <is>
          <t>Выходной/праздник в этот день, ч</t>
        </is>
      </c>
      <c r="B8" s="29" t="n"/>
      <c r="C8" s="27">
        <f>IFERROR(SUMIFS(Журнал_день!J$6:J$371,Журнал_день!B$6:B$371,C3),0)</f>
        <v/>
      </c>
    </row>
    <row r="9">
      <c r="A9" s="46" t="inlineStr">
        <is>
          <t>Суток БД с 1 января по эту дату</t>
        </is>
      </c>
      <c r="B9" s="29" t="n"/>
      <c r="C9" s="27">
        <f>SUMIFS(Журнал_день!G$6:G$371,Журнал_день!B$6:B$371,"&lt;="&amp;C3,Журнал_день!B$6:B$371,"&gt;="&amp;DATE(Анкета!C12,1,1))</f>
        <v/>
      </c>
    </row>
    <row r="10">
      <c r="A10" s="46" t="inlineStr">
        <is>
          <t>Положено суток отдыха на эту дату</t>
        </is>
      </c>
      <c r="B10" s="29" t="n"/>
      <c r="C10" s="27">
        <f>INT(C9/3)*2</f>
        <v/>
      </c>
    </row>
    <row r="11">
      <c r="A11" s="46" t="inlineStr">
        <is>
          <t>Месяц выбранной даты</t>
        </is>
      </c>
      <c r="B11" s="29" t="n"/>
      <c r="C11" s="27">
        <f>CHOOSE(MONTH(C3),"январь","февраль","март","апрель","май","июнь","июль","август","сентябрь","октябрь","ноябрь","декабрь")</f>
        <v/>
      </c>
    </row>
    <row r="13">
      <c r="A13" s="47" t="inlineStr">
        <is>
          <t>За год (для рапорта)</t>
        </is>
      </c>
    </row>
    <row r="14">
      <c r="A14" s="46" t="inlineStr">
        <is>
          <t>Суток БД за год</t>
        </is>
      </c>
      <c r="C14" s="27">
        <f>БД_сутки!C4</f>
        <v/>
      </c>
    </row>
    <row r="15">
      <c r="A15" s="46" t="inlineStr">
        <is>
          <t>Положено суток отдыха за БД</t>
        </is>
      </c>
      <c r="C15" s="27">
        <f>БД_сутки!C5</f>
        <v/>
      </c>
    </row>
    <row r="16">
      <c r="A16" s="46" t="inlineStr">
        <is>
          <t>Уже присоединено к отпуску, сут.</t>
        </is>
      </c>
      <c r="C16" s="27">
        <f>БД_сутки!C9</f>
        <v/>
      </c>
    </row>
    <row r="17">
      <c r="A17" s="46" t="inlineStr">
        <is>
          <t>К выплате / неиспользовано, сут.</t>
        </is>
      </c>
      <c r="C17" s="27">
        <f>БД_сутки!C10</f>
        <v/>
      </c>
    </row>
    <row r="18">
      <c r="A18" s="46" t="inlineStr">
        <is>
          <t>Сумма компенсации, руб.</t>
        </is>
      </c>
      <c r="C18" s="38">
        <f>БД_сутки!C11</f>
        <v/>
      </c>
    </row>
    <row r="19">
      <c r="A19" s="46" t="inlineStr">
        <is>
          <t>Сверхурочно за год, ч (журнал 660)</t>
        </is>
      </c>
      <c r="C19" s="27">
        <f>БД_сутки!D27</f>
        <v/>
      </c>
    </row>
    <row r="20">
      <c r="A20" s="46" t="inlineStr">
        <is>
          <t>Выходные/праздники за год, ч</t>
        </is>
      </c>
      <c r="C20" s="27">
        <f>БД_сутки!E27</f>
        <v/>
      </c>
    </row>
    <row r="21">
      <c r="A21" s="46" t="inlineStr">
        <is>
          <t>Наряд за год, сут. (деньги по закону обычно не положены)</t>
        </is>
      </c>
      <c r="C21" s="27">
        <f>БД_сутки!C7</f>
        <v/>
      </c>
    </row>
    <row r="23">
      <c r="A23" s="48" t="inlineStr">
        <is>
          <t>Денежная компенсация в рапорте берётся из строки «К выплате». Сверхурочка и наряд из журнала 660 компенсируются отдыхом, а не деньгами (п. 1 ст. 11 закона № 76-ФЗ). Если часть отгулов уже брали — укажите их в Журнал_день в колонке «К отпуску, сут».</t>
        </is>
      </c>
    </row>
    <row r="24"/>
    <row r="25"/>
  </sheetData>
  <mergeCells count="19">
    <mergeCell ref="A15:B15"/>
    <mergeCell ref="A11:B11"/>
    <mergeCell ref="A23:D25"/>
    <mergeCell ref="A6:B6"/>
    <mergeCell ref="A16:B16"/>
    <mergeCell ref="A7:B7"/>
    <mergeCell ref="A18:B18"/>
    <mergeCell ref="A3:B3"/>
    <mergeCell ref="A1:D1"/>
    <mergeCell ref="A21:B21"/>
    <mergeCell ref="A13:C13"/>
    <mergeCell ref="A5:B5"/>
    <mergeCell ref="A14:B14"/>
    <mergeCell ref="A17:B17"/>
    <mergeCell ref="A8:B8"/>
    <mergeCell ref="A20:B20"/>
    <mergeCell ref="A19:B19"/>
    <mergeCell ref="A10:B10"/>
    <mergeCell ref="A9:B9"/>
  </mergeCells>
  <pageMargins left="0.4" right="0.4" top="0.5" bottom="0.5" header="0.5" footer="0.5"/>
  <pageSetup orientation="portrait" paperSize="9" fitToHeight="0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3D"/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22" customWidth="1" min="6" max="6"/>
  </cols>
  <sheetData>
    <row r="1" ht="22" customHeight="1">
      <c r="A1" s="15" t="inlineStr">
        <is>
          <t>РАПОРТ — лист готов к печати. Фамилия подставляется из анкеты.</t>
        </is>
      </c>
    </row>
    <row r="3" ht="32" customHeight="1">
      <c r="D3" s="49">
        <f>Анкета!B21</f>
        <v/>
      </c>
    </row>
    <row r="5" ht="32" customHeight="1">
      <c r="D5" s="49">
        <f>Анкета!B22</f>
        <v/>
      </c>
    </row>
    <row r="8">
      <c r="A8" s="50" t="inlineStr">
        <is>
          <t>РАПОРТ</t>
        </is>
      </c>
    </row>
    <row r="10" ht="22" customHeight="1">
      <c r="A10" s="51">
        <f>CONCATENATE("Докладываю, что в период с 01.01.",Анкета!C12," по 31.12.",Анкета!C12," я, ",Анкета!C6," ",Анкета!B19,", привлекался к боевому дежурству (боевой службе), проводимому без ограничения общей продолжительности еженедельного служебного времени.")</f>
        <v/>
      </c>
    </row>
    <row r="11"/>
    <row r="12"/>
    <row r="14" ht="22" customHeight="1">
      <c r="A14" s="51">
        <f>CONCATENATE("Количество суток привлечения к боевому дежурству — ",БД_сутки!C4," суток. Согласно пункту 5 приложения № 2 к Положению о порядке прохождения военной службы за каждые трое суток привлечения положено двое суток отдыха.")</f>
        <v/>
      </c>
    </row>
    <row r="15"/>
    <row r="17" ht="22" customHeight="1">
      <c r="A17" s="51">
        <f>CONCATENATE("Расчёт: ",БД_сутки!C4," ÷ 3 × 2 = ",БД_сутки!C5," дополнительных суток отдыха. Из них предоставлено (присоединено к отпуску): ",БД_сутки!C9," суток. Остаток, не использованный в виде отдыха: ",БД_сутки!C10," суток.")</f>
        <v/>
      </c>
    </row>
    <row r="18"/>
    <row r="20" ht="22" customHeight="1">
      <c r="A20" s="51">
        <f>CONCATENATE("В соответствии с пунктом 3 статьи 11 Федерального закона от 27.05.1998 № 76-ФЗ «О статусе военнослужащих» и приказом Министра обороны Российской Федерации от 14.02.2010 № 80 прошу вместо предоставления указанных дополнительных суток отдыха выплатить мне, ",Анкета!C6,"у ",Анкета!B20,", денежную компенсацию за ",БД_сутки!C10," суток.")</f>
        <v/>
      </c>
    </row>
    <row r="21"/>
    <row r="22"/>
    <row r="24" ht="22" customHeight="1">
      <c r="A24" s="51">
        <f>CONCATENATE("Оклад по воинской должности: ",Анкета!C13," руб.  Оклад по воинскому званию: ",Анкета!C14," руб.  Расчёт компенсации: (",Анкета!C13," + ",Анкета!C14,") ÷ 30 × ",БД_сутки!C10," = ",БД_сутки!C11," руб.")</f>
        <v/>
      </c>
    </row>
    <row r="25"/>
    <row r="27" ht="22" customHeight="1">
      <c r="A27" s="51" t="inlineStr">
        <is>
          <t>Дополнительные сутки отдыха за указанный период, кроме отражённых в расчёте, мне не предоставлялись. Расчёт составлен по журналу учёта служебного времени (приказ МО РФ от 30.10.2015 № 660, приложение № 7) и отметкам о боевом дежурстве.</t>
        </is>
      </c>
    </row>
    <row r="28"/>
    <row r="30" ht="22" customHeight="1">
      <c r="A30" s="52" t="inlineStr">
        <is>
          <t>Приложения:
1. Выписка (копия) из журнала учёта служебного времени (приложение № 7 к приказу МО РФ № 660).
2. Расчёт дополнительных суток отдыха за боевое дежурство.</t>
        </is>
      </c>
    </row>
    <row r="31"/>
    <row r="34">
      <c r="A34" s="53">
        <f>CONCATENATE("«    » ______________ ",Анкета!C12," г.")</f>
        <v/>
      </c>
      <c r="D34" s="54">
        <f>CONCATENATE("__________ / ",Анкета!C6," ",Анкета!B19," /")</f>
        <v/>
      </c>
    </row>
    <row r="37">
      <c r="A37" s="3" t="inlineStr">
        <is>
          <t>Служебная отметка канцелярии: входящий № ________ от «    » ______________ 20    г.</t>
        </is>
      </c>
    </row>
    <row r="38"/>
  </sheetData>
  <mergeCells count="14">
    <mergeCell ref="A37:F38"/>
    <mergeCell ref="D5:F5"/>
    <mergeCell ref="A1:F1"/>
    <mergeCell ref="A14:F15"/>
    <mergeCell ref="A30:F31"/>
    <mergeCell ref="D34:F34"/>
    <mergeCell ref="A8:F8"/>
    <mergeCell ref="A17:F18"/>
    <mergeCell ref="A27:F28"/>
    <mergeCell ref="D3:F3"/>
    <mergeCell ref="A24:F25"/>
    <mergeCell ref="A10:F12"/>
    <mergeCell ref="A20:F22"/>
    <mergeCell ref="A34:B34"/>
  </mergeCells>
  <pageMargins left="0.4" right="0.4" top="0.5" bottom="0.5" header="0.5" footer="0.5"/>
  <pageSetup orientation="portrait" paperSize="9" fitToHeight="1" fitToWidth="1"/>
  <headerFooter>
    <oddHeader/>
    <oddFooter>&amp;C&amp;K000000 Журнал и рапорт — приказ МО РФ № 660 прил. 7, приказ МО РФ № 80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2026-08-31T18:27:22Z</dcterms:created>
  <dcterms:modified xsi:type="dcterms:W3CDTF">2026-08-31T18:27:23Z</dcterms:modified>
</cp:coreProperties>
</file>